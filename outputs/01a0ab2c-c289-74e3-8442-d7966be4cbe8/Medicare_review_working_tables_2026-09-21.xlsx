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1874e9435a42b3" /></Relationships>
</file>

<file path=xl/workbook.xml><?xml version="1.0" encoding="utf-8"?>
<x:workbook xmlns:x="http://schemas.openxmlformats.org/spreadsheetml/2006/main">
  <x:sheets>
    <x:sheet xmlns:r="http://schemas.openxmlformats.org/officeDocument/2006/relationships" name="Review progress" sheetId="1" r:id="Rcfbc563cdd2f4c05"/>
    <x:sheet xmlns:r="http://schemas.openxmlformats.org/officeDocument/2006/relationships" name="Study extraction" sheetId="2" r:id="Raef5edfa38ab4f13"/>
    <x:sheet xmlns:r="http://schemas.openxmlformats.org/officeDocument/2006/relationships" name="Effect estimates" sheetId="3" r:id="R74b4ef677683481a"/>
    <x:sheet xmlns:r="http://schemas.openxmlformats.org/officeDocument/2006/relationships" name="Screening calibration" sheetId="4" r:id="R2aea095529984383"/>
    <x:sheet xmlns:r="http://schemas.openxmlformats.org/officeDocument/2006/relationships" name="Abstracts" sheetId="5" r:id="Rcf4987aee93348d3"/>
    <x:sheet xmlns:r="http://schemas.openxmlformats.org/officeDocument/2006/relationships" name="Search log" sheetId="6" r:id="Ra4f4fd28f5f144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yyyy-mm-dd"/>
    <x:numFmt numFmtId="203" formatCode="#,##0"/>
  </x:numFmts>
  <x:fonts count="6">
    <x:font>
      <x:sz val="11"/>
      <x:name val="Carlito"/>
    </x:font>
    <x:font>
      <x:sz val="10"/>
      <x:color rgb="FF243E4C"/>
      <x:name val="Arial"/>
    </x:font>
    <x:font>
      <x:b/>
      <x:sz val="16"/>
      <x:color rgb="FF183A4A"/>
      <x:name val="Arial"/>
    </x:font>
    <x:font>
      <x:b/>
      <x:sz val="10"/>
      <x:color rgb="FFFFFFFF"/>
      <x:name val="Arial"/>
    </x:font>
    <x:font>
      <x:sz val="10"/>
      <x:color rgb="FF126D92"/>
      <x:name val="Arial"/>
    </x:font>
    <x:font>
      <x:b/>
      <x:sz val="12"/>
      <x:color rgb="FF183A4A"/>
      <x:name val="Arial"/>
    </x:font>
  </x:fonts>
  <x:fills count="6">
    <x:fill>
      <x:patternFill patternType="none"/>
    </x:fill>
    <x:fill>
      <x:patternFill patternType="gray125"/>
    </x:fill>
    <x:fill>
      <x:patternFill patternType="solid">
        <x:fgColor rgb="FFFFFFFF"/>
      </x:patternFill>
    </x:fill>
    <x:fill>
      <x:patternFill patternType="solid">
        <x:fgColor rgb="FF183A4A"/>
      </x:patternFill>
    </x:fill>
    <x:fill>
      <x:patternFill patternType="solid">
        <x:fgColor rgb="FFEDF4F5"/>
      </x:patternFill>
    </x:fill>
    <x:fill>
      <x:patternFill patternType="solid">
        <x:fgColor rgb="FFFFF0C6"/>
      </x:patternFill>
    </x:fill>
  </x:fills>
  <x:borders count="1">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3" fontId="1" fillId="2" borderId="0" xfId="0" applyNumberFormat="1" applyFont="1" applyFill="1" applyBorder="1" applyAlignment="1">
      <x:alignment vertical="top" wrapText="1"/>
    </x:xf>
    <x:xf numFmtId="203" fontId="1" fillId="4" borderId="0" xfId="0" applyNumberFormat="1" applyFont="1" applyFill="1" applyBorder="1" applyAlignment="1">
      <x:alignment vertical="top" wrapText="1"/>
    </x:xf>
    <x:xf numFmtId="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eea973ba814ae8" /><Relationship Type="http://schemas.openxmlformats.org/officeDocument/2006/relationships/theme" Target="/xl/theme/theme1.xml" Id="Rf3a132aa69464682" /><Relationship Type="http://schemas.openxmlformats.org/officeDocument/2006/relationships/sharedStrings" Target="/xl/sharedStrings.xml" Id="R5cb5609e5c5544f2" /><Relationship Type="http://schemas.openxmlformats.org/officeDocument/2006/relationships/worksheet" Target="/xl/worksheets/sheet1.xml" Id="Rcfbc563cdd2f4c05" /><Relationship Type="http://schemas.openxmlformats.org/officeDocument/2006/relationships/worksheet" Target="/xl/worksheets/sheet2.xml" Id="Raef5edfa38ab4f13" /><Relationship Type="http://schemas.openxmlformats.org/officeDocument/2006/relationships/worksheet" Target="/xl/worksheets/sheet3.xml" Id="R74b4ef677683481a" /><Relationship Type="http://schemas.openxmlformats.org/officeDocument/2006/relationships/worksheet" Target="/xl/worksheets/sheet4.xml" Id="R2aea095529984383" /><Relationship Type="http://schemas.openxmlformats.org/officeDocument/2006/relationships/worksheet" Target="/xl/worksheets/sheet5.xml" Id="Rcf4987aee93348d3" /><Relationship Type="http://schemas.openxmlformats.org/officeDocument/2006/relationships/worksheet" Target="/xl/worksheets/sheet6.xml" Id="Ra4f4fd28f5f1448f" /></Relationships>
</file>

<file path=xl/tables/table1.xml><?xml version="1.0" encoding="utf-8"?>
<x:table xmlns:x="http://schemas.openxmlformats.org/spreadsheetml/2006/main" id="6" name="ReviewProgress" displayName="ReviewProgress" ref="A7:E22" headerRowCount="1" totalsRowCount="0" totalsRowShown="0">
  <x:autoFilter ref="A7:E22"/>
  <x:tableColumns count="5">
    <x:tableColumn id="1" name="Stage"/>
    <x:tableColumn id="2" name="Metric"/>
    <x:tableColumn id="3" name="Count"/>
    <x:tableColumn id="4" name="Interpretation"/>
    <x:tableColumn id="5" name="Source / method"/>
  </x:tableColumns>
  <x:tableStyleInfo name="TableStyleMedium2" showFirstColumn="0" showLastColumn="0" showRowStripes="1" showColumnStripes="0"/>
</x:table>
</file>

<file path=xl/tables/table2.xml><?xml version="1.0" encoding="utf-8"?>
<x:table xmlns:x="http://schemas.openxmlformats.org/spreadsheetml/2006/main" id="1" name="ExtractionUpdates" displayName="ExtractionUpdates" ref="A7:M16" headerRowCount="1" totalsRowCount="0" totalsRowShown="0">
  <x:autoFilter ref="A7:M16"/>
  <x:tableColumns count="13">
    <x:tableColumn id="1" name="Study ID"/>
    <x:tableColumn id="2" name="PMID"/>
    <x:tableColumn id="3" name="Verified title"/>
    <x:tableColumn id="4" name="Current status"/>
    <x:tableColumn id="5" name="Access / review level"/>
    <x:tableColumn id="6" name="Unit of analysis"/>
    <x:tableColumn id="7" name="Population"/>
    <x:tableColumn id="8" name="Medicare / payer relation"/>
    <x:tableColumn id="9" name="Data period"/>
    <x:tableColumn id="10" name="Extracted finding"/>
    <x:tableColumn id="11" name="Limitations / next step"/>
    <x:tableColumn id="12" name="Source URL"/>
    <x:tableColumn id="13" name="Detailed extraction file"/>
  </x:tableColumns>
  <x:tableStyleInfo name="TableStyleMedium2" showFirstColumn="0" showLastColumn="0" showRowStripes="1" showColumnStripes="0"/>
</x:table>
</file>

<file path=xl/tables/table3.xml><?xml version="1.0" encoding="utf-8"?>
<x:table xmlns:x="http://schemas.openxmlformats.org/spreadsheetml/2006/main" id="2" name="SelectedEstimates" displayName="SelectedEstimates" ref="A7:L17" headerRowCount="1" totalsRowCount="0" totalsRowShown="0">
  <x:autoFilter ref="A7:L17"/>
  <x:tableColumns count="12">
    <x:tableColumn id="1" name="Study ID"/>
    <x:tableColumn id="2" name="PMID"/>
    <x:tableColumn id="3" name="Outcome"/>
    <x:tableColumn id="4" name="Population / period"/>
    <x:tableColumn id="5" name="Comparison"/>
    <x:tableColumn id="6" name="Effect measure"/>
    <x:tableColumn id="7" name="Estimate"/>
    <x:tableColumn id="8" name="95% CI lower"/>
    <x:tableColumn id="9" name="95% CI upper"/>
    <x:tableColumn id="10" name="Other reported result"/>
    <x:tableColumn id="11" name="Source location and interpretation boundary"/>
    <x:tableColumn id="12" name="Source URL"/>
  </x:tableColumns>
  <x:tableStyleInfo name="TableStyleMedium2" showFirstColumn="0" showLastColumn="0" showRowStripes="1" showColumnStripes="0"/>
</x:table>
</file>

<file path=xl/tables/table4.xml><?xml version="1.0" encoding="utf-8"?>
<x:table xmlns:x="http://schemas.openxmlformats.org/spreadsheetml/2006/main" id="3" name="CalibrationRecords" displayName="CalibrationRecords" ref="A7:R57" headerRowCount="1" totalsRowCount="0" totalsRowShown="0">
  <x:autoFilter ref="A7:R57"/>
  <x:tableColumns count="18">
    <x:tableColumn id="1" name="PMID"/>
    <x:tableColumn id="2" name="Title"/>
    <x:tableColumn id="3" name="Review status"/>
    <x:tableColumn id="4" name="Reviewer 1 name"/>
    <x:tableColumn id="5" name="Reviewer 1 decision"/>
    <x:tableColumn id="6" name="Reviewer 2 name"/>
    <x:tableColumn id="7" name="Reviewer 2 decision"/>
    <x:tableColumn id="8" name="Adjudicated decision"/>
    <x:tableColumn id="9" name="Exclusion reason / discussion"/>
    <x:tableColumn id="10" name="Decision date"/>
    <x:tableColumn id="11" name="Existing study ID"/>
    <x:tableColumn id="12" name="Sampling basis"/>
    <x:tableColumn id="13" name="Authors"/>
    <x:tableColumn id="14" name="Year"/>
    <x:tableColumn id="15" name="Journal / book"/>
    <x:tableColumn id="16" name="DOI"/>
    <x:tableColumn id="17" name="PubMed URL"/>
    <x:tableColumn id="18" name="Full abstract location"/>
  </x:tableColumns>
  <x:tableStyleInfo name="TableStyleMedium2" showFirstColumn="0" showLastColumn="0" showRowStripes="1" showColumnStripes="0"/>
</x:table>
</file>

<file path=xl/tables/table5.xml><?xml version="1.0" encoding="utf-8"?>
<x:table xmlns:x="http://schemas.openxmlformats.org/spreadsheetml/2006/main" id="4" name="CalibrationAbstracts" displayName="CalibrationAbstracts" ref="A7:E57" headerRowCount="1" totalsRowCount="0" totalsRowShown="0">
  <x:autoFilter ref="A7:E57"/>
  <x:tableColumns count="5">
    <x:tableColumn id="1" name="PMID"/>
    <x:tableColumn id="2" name="Abstract"/>
    <x:tableColumn id="3" name="Title"/>
    <x:tableColumn id="4" name="PubMed URL"/>
    <x:tableColumn id="5" name="Archived raw source"/>
  </x:tableColumns>
  <x:tableStyleInfo name="TableStyleMedium2" showFirstColumn="0" showLastColumn="0" showRowStripes="1" showColumnStripes="0"/>
</x:table>
</file>

<file path=xl/tables/table6.xml><?xml version="1.0" encoding="utf-8"?>
<x:table xmlns:x="http://schemas.openxmlformats.org/spreadsheetml/2006/main" id="5" name="ExecutedSearches" displayName="ExecutedSearches" ref="A7:G13" headerRowCount="1" totalsRowCount="0" totalsRowShown="0">
  <x:autoFilter ref="A7:G13"/>
  <x:tableColumns count="7">
    <x:tableColumn id="1" name="Run / stage"/>
    <x:tableColumn id="2" name="Query (whitespace reflowed) / operation"/>
    <x:tableColumn id="3" name="Record count"/>
    <x:tableColumn id="4" name="Role"/>
    <x:tableColumn id="5" name="Execution date"/>
    <x:tableColumn id="6" name="Archive path (relative to review folder)"/>
    <x:tableColumn id="7" name="Qual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f8b3e9f3dd474c" /></Relationships>
</file>

<file path=xl/worksheets/_rels/sheet2.xml.rels>&#65279;<?xml version="1.0" encoding="utf-8"?><Relationships xmlns="http://schemas.openxmlformats.org/package/2006/relationships"><Relationship Type="http://schemas.openxmlformats.org/officeDocument/2006/relationships/table" Target="/xl/tables/table2.xml" Id="Rfee09d50930b43c5" /></Relationships>
</file>

<file path=xl/worksheets/_rels/sheet3.xml.rels>&#65279;<?xml version="1.0" encoding="utf-8"?><Relationships xmlns="http://schemas.openxmlformats.org/package/2006/relationships"><Relationship Type="http://schemas.openxmlformats.org/officeDocument/2006/relationships/table" Target="/xl/tables/table3.xml" Id="R6eb3d1d904384241" /></Relationships>
</file>

<file path=xl/worksheets/_rels/sheet4.xml.rels>&#65279;<?xml version="1.0" encoding="utf-8"?><Relationships xmlns="http://schemas.openxmlformats.org/package/2006/relationships"><Relationship Type="http://schemas.openxmlformats.org/officeDocument/2006/relationships/table" Target="/xl/tables/table4.xml" Id="R19d187f76a534272" /></Relationships>
</file>

<file path=xl/worksheets/_rels/sheet5.xml.rels>&#65279;<?xml version="1.0" encoding="utf-8"?><Relationships xmlns="http://schemas.openxmlformats.org/package/2006/relationships"><Relationship Type="http://schemas.openxmlformats.org/officeDocument/2006/relationships/table" Target="/xl/tables/table5.xml" Id="R0a26f02ffc5a4a8d" /></Relationships>
</file>

<file path=xl/worksheets/_rels/sheet6.xml.rels>&#65279;<?xml version="1.0" encoding="utf-8"?><Relationships xmlns="http://schemas.openxmlformats.org/package/2006/relationships"><Relationship Type="http://schemas.openxmlformats.org/officeDocument/2006/relationships/table" Target="/xl/tables/table6.xml" Id="R09a1b6cedfa440e3" /></Relationships>
</file>

<file path=xl/worksheets/sheet1.xml><?xml version="1.0" encoding="utf-8"?>
<x:worksheet xmlns:x="http://schemas.openxmlformats.org/spreadsheetml/2006/main">
  <x:sheetPr>
    <x:tabColor rgb="FF166B70"/>
  </x:sheetPr>
  <x:sheetViews>
    <x:sheetView showGridLines="0" workbookViewId="0">
      <x:pane xSplit="2" ySplit="7" topLeftCell="C8" activePane="bottomRight" state="frozen"/>
    </x:sheetView>
  </x:sheetViews>
  <x:sheetFormatPr defaultRowHeight="15"/>
  <x:cols>
    <x:col min="1" max="1" width="17.780000686645508" hidden="0" customWidth="1"/>
    <x:col min="2" max="2" width="47.779998779296875" hidden="0" customWidth="1"/>
    <x:col min="3" max="3" width="15.5600004196167" hidden="0" customWidth="1"/>
    <x:col min="4" max="4" width="62.220001220703125" hidden="0" customWidth="1"/>
    <x:col min="5" max="5" width="51.11000061035156" hidden="0" customWidth="1"/>
  </x:cols>
  <x:sheetData>
    <x:row r="1">
      <x:c r="A1" s="4"/>
      <x:c r="B1" s="4"/>
      <x:c r="C1" s="4"/>
      <x:c r="D1" s="4"/>
      <x:c r="E1" s="4"/>
    </x:row>
    <x:row r="2" ht="34.5" customHeight="1">
      <x:c r="A2" s="4"/>
      <x:c r="B2" s="5" t="str">
        <x:v>Medicare review working tables</x:v>
      </x:c>
      <x:c r="C2" s="4"/>
      <x:c r="D2" s="4"/>
      <x:c r="E2" s="4"/>
    </x:row>
    <x:row r="3" ht="49.5" customHeight="1">
      <x:c r="A3" s="4"/>
      <x:c r="B3" s="4" t="str">
        <x:v>Updated 21 September 2026. Preliminary evidence and a reproducible search archive. Human screening, PRESS, additional databases and formal appraisal remain pending.</x:v>
      </x:c>
      <x:c r="C3" s="4"/>
      <x:c r="D3" s="4"/>
      <x:c r="E3" s="4"/>
    </x:row>
    <x:row r="4">
      <x:c r="A4" s="4"/>
      <x:c r="B4" s="4"/>
      <x:c r="C4" s="4"/>
      <x:c r="D4" s="4"/>
      <x:c r="E4" s="4"/>
    </x:row>
    <x:row r="5">
      <x:c r="A5" s="4"/>
      <x:c r="B5" s="4"/>
      <x:c r="C5" s="4"/>
      <x:c r="D5" s="4"/>
      <x:c r="E5" s="4"/>
    </x:row>
    <x:row r="6">
      <x:c r="A6" s="4"/>
      <x:c r="B6" s="4"/>
      <x:c r="C6" s="4"/>
      <x:c r="D6" s="4"/>
      <x:c r="E6" s="4"/>
    </x:row>
    <x:row r="7" ht="33" customHeight="1">
      <x:c r="A7" s="9" t="str">
        <x:v>Stage</x:v>
      </x:c>
      <x:c r="B7" s="9" t="str">
        <x:v>Metric</x:v>
      </x:c>
      <x:c r="C7" s="9" t="str">
        <x:v>Count</x:v>
      </x:c>
      <x:c r="D7" s="9" t="str">
        <x:v>Interpretation</x:v>
      </x:c>
      <x:c r="E7" s="9" t="str">
        <x:v>Source / method</x:v>
      </x:c>
    </x:row>
    <x:row r="8" ht="28.5" customHeight="1">
      <x:c r="A8" s="4" t="str">
        <x:v>Identification</x:v>
      </x:c>
      <x:c r="B8" s="4" t="str">
        <x:v>Corrected core hits</x:v>
      </x:c>
      <x:c r="C8" s="19" t="n">
        <x:v>43904</x:v>
      </x:c>
      <x:c r="D8" s="4" t="str">
        <x:v>Exact executed PubMed query</x:v>
      </x:c>
      <x:c r="E8" s="4" t="str">
        <x:v>Search log / archived manifest</x:v>
      </x:c>
    </x:row>
    <x:row r="9" ht="28.5" customHeight="1">
      <x:c r="A9" s="10" t="str">
        <x:v>Identification</x:v>
      </x:c>
      <x:c r="B9" s="10" t="str">
        <x:v>Supplementary hits</x:v>
      </x:c>
      <x:c r="C9" s="20" t="n">
        <x:v>16866</x:v>
      </x:c>
      <x:c r="D9" s="10" t="str">
        <x:v>May include non-Medicare and non-US records</x:v>
      </x:c>
      <x:c r="E9" s="10" t="str">
        <x:v>Search log / archived manifest</x:v>
      </x:c>
    </x:row>
    <x:row r="10" ht="28.5" customHeight="1">
      <x:c r="A10" s="4" t="str">
        <x:v>Deduplication</x:v>
      </x:c>
      <x:c r="B10" s="4" t="str">
        <x:v>Duplicate query hits</x:v>
      </x:c>
      <x:c r="C10" s="19" t="n">
        <x:v>2084</x:v>
      </x:c>
      <x:c r="D10" s="4" t="str">
        <x:v>Exact PMID only; removed once from union</x:v>
      </x:c>
      <x:c r="E10" s="4" t="str">
        <x:v>pubmed/deduplication_map.csv</x:v>
      </x:c>
    </x:row>
    <x:row r="11" ht="28.5" customHeight="1">
      <x:c r="A11" s="10" t="str">
        <x:v>Identification</x:v>
      </x:c>
      <x:c r="B11" s="10" t="str">
        <x:v>Unique retrieved records</x:v>
      </x:c>
      <x:c r="C11" s="20" t="n">
        <x:f>C8+C9-C10</x:f>
        <x:v>58686</x:v>
      </x:c>
      <x:c r="D11" s="10" t="str">
        <x:v>Not included-study count</x:v>
      </x:c>
      <x:c r="E11" s="10" t="str">
        <x:v>Core + supplement − duplicate hits</x:v>
      </x:c>
    </x:row>
    <x:row r="12" ht="28.5" customHeight="1">
      <x:c r="A12" s="4" t="str">
        <x:v>Export</x:v>
      </x:c>
      <x:c r="B12" s="4" t="str">
        <x:v>Bibliographic records archived</x:v>
      </x:c>
      <x:c r="C12" s="19" t="n">
        <x:v>58686</x:v>
      </x:c>
      <x:c r="D12" s="4" t="str">
        <x:v>All retrieved PMIDs; abstracts when available</x:v>
      </x:c>
      <x:c r="E12" s="4" t="str">
        <x:v>pubmed/all_records.jsonl.gz</x:v>
      </x:c>
    </x:row>
    <x:row r="13" ht="28.5" customHeight="1">
      <x:c r="A13" s="10" t="str">
        <x:v>Export</x:v>
      </x:c>
      <x:c r="B13" s="10" t="str">
        <x:v>Records with abstracts</x:v>
      </x:c>
      <x:c r="C13" s="20" t="n">
        <x:v>46735</x:v>
      </x:c>
      <x:c r="D13" s="10" t="str">
        <x:v>Abstracts are not full texts</x:v>
      </x:c>
      <x:c r="E13" s="10" t="str">
        <x:v>search_summary.json</x:v>
      </x:c>
    </x:row>
    <x:row r="14" ht="28.5" customHeight="1">
      <x:c r="A14" s="4" t="str">
        <x:v>Export</x:v>
      </x:c>
      <x:c r="B14" s="4" t="str">
        <x:v>Records without abstracts</x:v>
      </x:c>
      <x:c r="C14" s="19" t="n">
        <x:v>11951</x:v>
      </x:c>
      <x:c r="D14" s="4" t="str">
        <x:v>No abstract does not justify automatic exclusion</x:v>
      </x:c>
      <x:c r="E14" s="4" t="str">
        <x:v>search_summary.json</x:v>
      </x:c>
    </x:row>
    <x:row r="15" ht="28.5" customHeight="1">
      <x:c r="A15" s="10" t="str">
        <x:v>Calibration</x:v>
      </x:c>
      <x:c r="B15" s="10" t="str">
        <x:v>Records prepared</x:v>
      </x:c>
      <x:c r="C15" s="20" t="n">
        <x:v>50</x:v>
      </x:c>
      <x:c r="D15" s="10" t="str">
        <x:v>Purposive sample; not representative</x:v>
      </x:c>
      <x:c r="E15" s="10" t="str">
        <x:v>Screening calibration</x:v>
      </x:c>
    </x:row>
    <x:row r="16" ht="28.5" customHeight="1">
      <x:c r="A16" s="4" t="str">
        <x:v>Calibration</x:v>
      </x:c>
      <x:c r="B16" s="4" t="str">
        <x:v>Two-reviewer agreement / adjudication</x:v>
      </x:c>
      <x:c r="C16" s="19" t="n">
        <x:f>COUNTIF('Screening calibration'!C8:C57,"Concordant")+COUNTIF('Screening calibration'!C8:C57,"Adjudicated")</x:f>
        <x:v>0</x:v>
      </x:c>
      <x:c r="D16" s="4" t="str">
        <x:v>Formula counts resolved paired decisions in this workbook only</x:v>
      </x:c>
      <x:c r="E16" s="4" t="str">
        <x:v>Screening calibration, status column</x:v>
      </x:c>
    </x:row>
    <x:row r="17" ht="28.5" customHeight="1">
      <x:c r="A17" s="10" t="str">
        <x:v>Calibration</x:v>
      </x:c>
      <x:c r="B17" s="10" t="str">
        <x:v>Awaiting two reviews</x:v>
      </x:c>
      <x:c r="C17" s="20" t="n">
        <x:f>COUNTIF('Screening calibration'!C8:C57,"Awaiting two reviews")</x:f>
        <x:v>50</x:v>
      </x:c>
      <x:c r="D17" s="10" t="str">
        <x:v>Names and both decisions required</x:v>
      </x:c>
      <x:c r="E17" s="10" t="str">
        <x:v>Screening calibration, status column</x:v>
      </x:c>
    </x:row>
    <x:row r="18" ht="28.5" customHeight="1">
      <x:c r="A18" s="4" t="str">
        <x:v>Calibration</x:v>
      </x:c>
      <x:c r="B18" s="4" t="str">
        <x:v>Other unresolved records</x:v>
      </x:c>
      <x:c r="C18" s="19" t="n">
        <x:f>C15-C16-C17</x:f>
        <x:v>0</x:v>
      </x:c>
      <x:c r="D18" s="4" t="str">
        <x:v>Disagreements, missing reasons or duplicate reviewer names</x:v>
      </x:c>
      <x:c r="E18" s="4" t="str">
        <x:v>Screening calibration, status column</x:v>
      </x:c>
    </x:row>
    <x:row r="19" ht="28.5" customHeight="1">
      <x:c r="A19" s="10" t="str">
        <x:v>Selected evidence</x:v>
      </x:c>
      <x:c r="B19" s="10" t="str">
        <x:v>Active working-register records</x:v>
      </x:c>
      <x:c r="C19" s="20" t="n">
        <x:v>38</x:v>
      </x:c>
      <x:c r="D19" s="10" t="str">
        <x:v>Candidates and contextual records; not final inclusions</x:v>
      </x:c>
      <x:c r="E19" s="10" t="str">
        <x:v>Updated evidence register</x:v>
      </x:c>
    </x:row>
    <x:row r="20" ht="28.5" customHeight="1">
      <x:c r="A20" s="4" t="str">
        <x:v>Selected evidence</x:v>
      </x:c>
      <x:c r="B20" s="4" t="str">
        <x:v>New patient-access candidates</x:v>
      </x:c>
      <x:c r="C20" s="19" t="n">
        <x:v>4</x:v>
      </x:c>
      <x:c r="D20" s="4" t="str">
        <x:v>Gender identity unresolved; human verification pending</x:v>
      </x:c>
      <x:c r="E20" s="4" t="str">
        <x:v>L-R01–L-R04</x:v>
      </x:c>
    </x:row>
    <x:row r="21" ht="28.5" customHeight="1">
      <x:c r="A21" s="10" t="str">
        <x:v>Selected evidence</x:v>
      </x:c>
      <x:c r="B21" s="10" t="str">
        <x:v>Existing source rechecks</x:v>
      </x:c>
      <x:c r="C21" s="20" t="n">
        <x:v>3</x:v>
      </x:c>
      <x:c r="D21" s="10" t="str">
        <x:v>Source discrepancies retained; full-text gaps disclosed</x:v>
      </x:c>
      <x:c r="E21" s="10" t="str">
        <x:v>L-P01–L-P03</x:v>
      </x:c>
    </x:row>
    <x:row r="22" ht="28.5" customHeight="1">
      <x:c r="A22" s="4" t="str">
        <x:v>Context leads</x:v>
      </x:c>
      <x:c r="B22" s="4" t="str">
        <x:v>References outside active register</x:v>
      </x:c>
      <x:c r="C22" s="19" t="n">
        <x:v>2</x:v>
      </x:c>
      <x:c r="D22" s="4" t="str">
        <x:v>Not counted as screened full-text exclusions</x:v>
      </x:c>
      <x:c r="E22" s="4" t="str">
        <x:v>L-X01–L-X02</x:v>
      </x:c>
    </x:row>
    <x:row r="24">
      <x:c r="B24" s="21" t="str">
        <x:v>Read the evidence carefully</x:v>
      </x:c>
    </x:row>
    <x:row r="25" ht="41.25" customHeight="1">
      <x:c r="B25" t="str">
        <x:v>Coverage, payment, affordability and utilization answer different questions.</x:v>
      </x:c>
      <x:c r="D25" t="str">
        <x:v>Patient sex/gender, physician sex/gender and service valuation are separate evidence streams. Shared bone/systemic care is distinct from reproductive anatomy.</x:v>
      </x:c>
    </x:row>
    <x:row r="26" ht="41.25" customHeight="1"/>
    <x:row r="27" ht="41.25" customHeight="1">
      <x:c r="B27" t="str">
        <x:v>Current patient candidates do not establish cisgender identity from sex labels.</x:v>
      </x:c>
      <x:c r="D27" t="str">
        <x:v>PRISMA guides reporting. GRADE concerns certainty for an outcome across a body of evidence. No formal GRADE ratings have been assigned.</x:v>
      </x:c>
    </x:row>
    <x:row r="28" ht="41.25" customHeight="1"/>
  </x:sheetData>
  <x:pageMargins left="0.7" right="0.7" top="0.75" bottom="0.75" header="0.3" footer="0.3"/>
  <x:tableParts count="1">
    <x:tablePart xmlns:r="http://schemas.openxmlformats.org/officeDocument/2006/relationships" r:id="R7af8b3e9f3dd474c"/>
  </x:tableParts>
</x:worksheet>
</file>

<file path=xl/worksheets/sheet2.xml><?xml version="1.0" encoding="utf-8"?>
<x:worksheet xmlns:x="http://schemas.openxmlformats.org/spreadsheetml/2006/main">
  <x:sheetPr>
    <x:tabColor rgb="FF166B70"/>
  </x:sheetPr>
  <x:sheetViews>
    <x:sheetView showGridLines="0" workbookViewId="0">
      <x:pane xSplit="2" ySplit="7" topLeftCell="C8" activePane="bottomRight" state="frozen"/>
    </x:sheetView>
  </x:sheetViews>
  <x:sheetFormatPr defaultRowHeight="15"/>
  <x:cols>
    <x:col min="1" max="1" width="10" hidden="0" customWidth="1"/>
    <x:col min="2" max="2" width="14.4399995803833" hidden="0" customWidth="1"/>
    <x:col min="3" max="3" width="48.88999938964844" hidden="0" customWidth="1"/>
    <x:col min="4" max="4" width="35.560001373291016" hidden="0" customWidth="1"/>
    <x:col min="5" max="5" width="37.779998779296875" hidden="0" customWidth="1"/>
    <x:col min="6" max="6" width="31.110000610351562" hidden="0" customWidth="1"/>
    <x:col min="7" max="7" width="40" hidden="0" customWidth="1"/>
    <x:col min="8" max="8" width="28.889999389648438" hidden="0" customWidth="1"/>
    <x:col min="9" max="9" width="28.889999389648438" hidden="0" customWidth="1"/>
    <x:col min="10" max="10" width="70" hidden="0" customWidth="1"/>
    <x:col min="11" max="11" width="64.44000244140625" hidden="0" customWidth="1"/>
    <x:col min="12" max="12" width="36.66999816894531" hidden="0" customWidth="1"/>
    <x:col min="13" max="13" width="40" hidden="0" customWidth="1"/>
  </x:cols>
  <x:sheetData>
    <x:row r="1">
      <x:c r="A1" s="4"/>
      <x:c r="B1" s="4"/>
      <x:c r="C1" s="4"/>
      <x:c r="D1" s="4"/>
      <x:c r="E1" s="4"/>
      <x:c r="F1" s="4"/>
      <x:c r="G1" s="4"/>
      <x:c r="H1" s="4"/>
      <x:c r="I1" s="4"/>
      <x:c r="J1" s="4"/>
      <x:c r="K1" s="4"/>
      <x:c r="L1" s="4"/>
      <x:c r="M1" s="4"/>
    </x:row>
    <x:row r="2" ht="34.5" customHeight="1">
      <x:c r="A2" s="4"/>
      <x:c r="B2" s="4"/>
      <x:c r="C2" s="5" t="str">
        <x:v>Evidence extraction — 21 Sep 2026</x:v>
      </x:c>
      <x:c r="D2" s="4"/>
      <x:c r="E2" s="4"/>
      <x:c r="F2" s="4"/>
      <x:c r="G2" s="4"/>
      <x:c r="H2" s="4"/>
      <x:c r="I2" s="4"/>
      <x:c r="J2" s="4"/>
      <x:c r="K2" s="4"/>
      <x:c r="L2" s="4"/>
      <x:c r="M2" s="4"/>
    </x:row>
    <x:row r="3" ht="49.5" customHeight="1">
      <x:c r="A3" s="4"/>
      <x:c r="B3" s="4"/>
      <x:c r="C3" s="4" t="str">
        <x:v>Four new candidates, three source rechecks and two separately logged retrieval references. AI extraction requires human verification. No formal risk-of-bias or certainty ratings.</x:v>
      </x:c>
      <x:c r="D3" s="4"/>
      <x:c r="E3" s="4"/>
      <x:c r="F3" s="4"/>
      <x:c r="G3" s="4"/>
      <x:c r="H3" s="4"/>
      <x:c r="I3" s="4"/>
      <x:c r="J3" s="4"/>
      <x:c r="K3" s="4"/>
      <x:c r="L3" s="4"/>
      <x:c r="M3" s="4"/>
    </x:row>
    <x:row r="4">
      <x:c r="A4" s="4"/>
      <x:c r="B4" s="4"/>
      <x:c r="C4" s="4"/>
      <x:c r="D4" s="4"/>
      <x:c r="E4" s="4"/>
      <x:c r="F4" s="4"/>
      <x:c r="G4" s="4"/>
      <x:c r="H4" s="4"/>
      <x:c r="I4" s="4"/>
      <x:c r="J4" s="4"/>
      <x:c r="K4" s="4"/>
      <x:c r="L4" s="4"/>
      <x:c r="M4" s="4"/>
    </x:row>
    <x:row r="5">
      <x:c r="A5" s="4"/>
      <x:c r="B5" s="4"/>
      <x:c r="C5" s="4"/>
      <x:c r="D5" s="4"/>
      <x:c r="E5" s="4"/>
      <x:c r="F5" s="4"/>
      <x:c r="G5" s="4"/>
      <x:c r="H5" s="4"/>
      <x:c r="I5" s="4"/>
      <x:c r="J5" s="4"/>
      <x:c r="K5" s="4"/>
      <x:c r="L5" s="4"/>
      <x:c r="M5" s="4"/>
    </x:row>
    <x:row r="6">
      <x:c r="A6" s="4"/>
      <x:c r="B6" s="4"/>
      <x:c r="C6" s="4"/>
      <x:c r="D6" s="4"/>
      <x:c r="E6" s="4"/>
      <x:c r="F6" s="4"/>
      <x:c r="G6" s="4"/>
      <x:c r="H6" s="4"/>
      <x:c r="I6" s="4"/>
      <x:c r="J6" s="4"/>
      <x:c r="K6" s="4"/>
      <x:c r="L6" s="4"/>
      <x:c r="M6" s="4"/>
    </x:row>
    <x:row r="7" ht="33" customHeight="1">
      <x:c r="A7" s="9" t="str">
        <x:v>Study ID</x:v>
      </x:c>
      <x:c r="B7" s="9" t="str">
        <x:v>PMID</x:v>
      </x:c>
      <x:c r="C7" s="9" t="str">
        <x:v>Verified title</x:v>
      </x:c>
      <x:c r="D7" s="9" t="str">
        <x:v>Current status</x:v>
      </x:c>
      <x:c r="E7" s="9" t="str">
        <x:v>Access / review level</x:v>
      </x:c>
      <x:c r="F7" s="9" t="str">
        <x:v>Unit of analysis</x:v>
      </x:c>
      <x:c r="G7" s="9" t="str">
        <x:v>Population</x:v>
      </x:c>
      <x:c r="H7" s="9" t="str">
        <x:v>Medicare / payer relation</x:v>
      </x:c>
      <x:c r="I7" s="9" t="str">
        <x:v>Data period</x:v>
      </x:c>
      <x:c r="J7" s="9" t="str">
        <x:v>Extracted finding</x:v>
      </x:c>
      <x:c r="K7" s="9" t="str">
        <x:v>Limitations / next step</x:v>
      </x:c>
      <x:c r="L7" s="9" t="str">
        <x:v>Source URL</x:v>
      </x:c>
      <x:c r="M7" s="9" t="str">
        <x:v>Detailed extraction file</x:v>
      </x:c>
    </x:row>
    <x:row r="8" ht="60" customHeight="1">
      <x:c r="A8" s="4" t="str">
        <x:v>L-R01</x:v>
      </x:c>
      <x:c r="B8" s="4" t="str">
        <x:v>33298705</x:v>
      </x:c>
      <x:c r="C8" s="4" t="str">
        <x:v>Cost-related Medication Nonadherence and Its Risk Factors Among Medicare Beneficiaries.</x:v>
      </x:c>
      <x:c r="D8" s="4" t="str">
        <x:v>Candidate: identity eligibility unresolved; human screening pending</x:v>
      </x:c>
      <x:c r="E8" s="4" t="str">
        <x:v>Main full-text methods/results/limitations and Tables 1–3; AI preliminary; supplements not reviewed</x:v>
      </x:c>
      <x:c r="F8" s="4" t="str">
        <x:v>Community-dwelling Medicare beneficiaries in survey-weighted 2016 MCBS analyses</x:v>
      </x:c>
      <x:c r="G8" s="4" t="str">
        <x:v>12,625 community-dwelling beneficiaries: 2,155 under 65 and 10,470 aged 65+; recorded sex, identity unresolved</x:v>
      </x:c>
      <x:c r="H8" s="4" t="str">
        <x:v>Traditional Medicare and Medicare Advantage; Part D/LIS, other drug coverage and no-drug-coverage strata</x:v>
      </x:c>
      <x:c r="I8" s="4" t="str">
        <x:v>2016 main analysis; 2006–2016 descriptive trends exclude 2014</x:v>
      </x:c>
      <x:c r="J8" s="4" t="str">
        <x:v>Female versus male adjusted odds of any cost-related nonadherence: 1.66 (95% CI 1.31–2.10) under 65 and 1.21 (1.04–1.41) aged 65+. Weighted prevalence: 40.5% versus 28.5% and 15.7% versus 12.8%, respectively. For ages 65+, cost-reduction-strategy OR 1.04 (0.94–1.14) includes the null.</x:v>
      </x:c>
      <x:c r="K8" s="4" t="str">
        <x:v>Self-report, residual confounding and continuous-enrollment/community selection; no current policy effect. Gender identity unresolved. Outcome-response Ns 2,150/10,457 differ from cohort Ns; model N and sex-specific event counts not established. Supplements not extracted.</x:v>
      </x:c>
      <x:c r="L8" s="11" t="str">
        <x:v>https://pmc.ncbi.nlm.nih.gov/articles/PMC7735208/</x:v>
      </x:c>
      <x:c r="M8" s="4" t="str">
        <x:v>research/review_2026-09-21/drug_access/drug_access_candidates.json</x:v>
      </x:c>
    </x:row>
    <x:row r="9" ht="60" customHeight="1">
      <x:c r="A9" s="10" t="str">
        <x:v>L-R02</x:v>
      </x:c>
      <x:c r="B9" s="10" t="str">
        <x:v>33656528</x:v>
      </x:c>
      <x:c r="C9" s="10" t="str">
        <x:v>Prevalence and Persistence of Cost-Related Medication Nonadherence Among Medicare Beneficiaries at High Risk of Hospitalization.</x:v>
      </x:c>
      <x:c r="D9" s="10" t="str">
        <x:v>Candidate: identity eligibility unresolved; human screening pending</x:v>
      </x:c>
      <x:c r="E9" s="10" t="str">
        <x:v>Full-text methods/results/limitations, Figure 2 and Tables 1–2 via PMC XML; AI preliminary</x:v>
      </x:c>
      <x:c r="F9" s="10" t="str">
        <x:v>High-hospitalization-risk Medicare beneficiaries with five repeated CRN surveys</x:v>
      </x:c>
      <x:c r="G9" s="10" t="str">
        <x:v>1,655 high-risk Chicago Medicare beneficiaries: 1,036 women and 619 men; 769 under 65 and 886 aged 65+; identity unresolved</x:v>
      </x:c>
      <x:c r="H9" s="10" t="str">
        <x:v>Medicare-only and dual Medicare/Medicaid; specific Part D and Original Medicare/MA status not established</x:v>
      </x:c>
      <x:c r="I9" s="10" t="str">
        <x:v>2012–2018 enrollment/study period; 3-month baseline recall plus 12-month follow-up, 5 surveys</x:v>
      </x:c>
      <x:c r="J9" s="10" t="str">
        <x:v>Persistent CRN: 162/1,036 women (15.6%) versus 68/619 men (11.0%), unadjusted P=.008; adjusted woman:man OR 1.36 (95% CI 0.95–1.95), P=.10. Transient CRN adjusted OR 0.81 (0.62–1.07), P=.15. Preserve both adjusted intervals including the null.</x:v>
      </x:c>
      <x:c r="K9" s="10" t="str">
        <x:v>Selected single-center cohort, 87.7% Black; deaths/incomplete follow-up excluded; some missing CRN treated as not reported. Gender identity unresolved; adjusted associations do not identify causal bias. Exact model N/reference-outcome coding require verification before pooling.</x:v>
      </x:c>
      <x:c r="L9" s="12" t="str">
        <x:v>https://pmc.ncbi.nlm.nih.gov/articles/PMC7930921/</x:v>
      </x:c>
      <x:c r="M9" s="10" t="str">
        <x:v>research/review_2026-09-21/drug_access/drug_access_candidates.json</x:v>
      </x:c>
    </x:row>
    <x:row r="10" ht="57" customHeight="1">
      <x:c r="A10" s="4" t="str">
        <x:v>L-R03</x:v>
      </x:c>
      <x:c r="B10" s="4" t="str">
        <x:v>38459983</x:v>
      </x:c>
      <x:c r="C10" s="4" t="str">
        <x:v>Bone Density Screening Rates Among Medicare Beneficiaries: An Analysis with a focus on Asian Americans.</x:v>
      </x:c>
      <x:c r="D10" s="4" t="str">
        <x:v>Candidate: identity eligibility unresolved; human screening pending</x:v>
      </x:c>
      <x:c r="E10" s="4" t="str">
        <x:v>Abstract and publisher preview only</x:v>
      </x:c>
      <x:c r="F10" s="4" t="str">
        <x:v>Medicare beneficiary</x:v>
      </x:c>
      <x:c r="G10" s="4" t="str">
        <x:v>80,439 eligible Asian American beneficiaries; women &gt;=65, men &gt;=70</x:v>
      </x:c>
      <x:c r="H10" s="4" t="str">
        <x:v>Medicare; FFS/MA enrollment restrictions not specified in accessible abstract</x:v>
      </x:c>
      <x:c r="I10" s="4" t="str">
        <x:v>Not established from abstract</x:v>
      </x:c>
      <x:c r="J10" s="4" t="str">
        <x:v>Asian American subgroup DXA receipt: women 19.8% versus men 5.0% (P&lt;.001). Overall 12,102/80,439 (15.1%). Sex-specific denominators and adjusted sex effects unavailable.</x:v>
      </x:c>
      <x:c r="K10" s="4" t="str">
        <x:v>Abstract-only; differing age thresholds; unknown observation years and clinical-need adjustment. The adjusted reported contrast concerns race, not sex. Identity unresolved.</x:v>
      </x:c>
      <x:c r="L10" s="11" t="str">
        <x:v>https://pubmed.ncbi.nlm.nih.gov/38459983/</x:v>
      </x:c>
      <x:c r="M10" s="4" t="str">
        <x:v>research/review_2026-09-21/bone/extraction.json</x:v>
      </x:c>
    </x:row>
    <x:row r="11" ht="57" customHeight="1">
      <x:c r="A11" s="10" t="str">
        <x:v>L-R04</x:v>
      </x:c>
      <x:c r="B11" s="10" t="str">
        <x:v>27884649</x:v>
      </x:c>
      <x:c r="C11" s="10" t="str">
        <x:v>Trends and Disparities in Osteoporosis Screening Among Women in the United States, 2008-2014.</x:v>
      </x:c>
      <x:c r="D11" s="10" t="str">
        <x:v>Candidate: identity eligibility unresolved; human screening pending</x:v>
      </x:c>
      <x:c r="E11" s="10" t="str">
        <x:v>Full main article read as publisher-formatted open-access text hosted on ResearchGate; supplementary file not reviewed</x:v>
      </x:c>
      <x:c r="F11" s="10" t="str">
        <x:v>Woman/enrollee; most recent two-year observation window</x:v>
      </x:c>
      <x:c r="G11" s="10" t="str">
        <x:v>588,737 Medicare Advantage women aged &gt;=50 within 1,638,454 MA/commercial women</x:v>
      </x:c>
      <x:c r="H11" s="10" t="str">
        <x:v>Medicare Advantage and commercial insurance; no Medicare FFS</x:v>
      </x:c>
      <x:c r="I11" s="10" t="str">
        <x:v>2008-2014; table calendar-year categories identify start of two-year observation window,2008-2013</x:v>
      </x:c>
      <x:c r="J11" s="10" t="str">
        <x:v>MA women: two-year bone measurement 22.9% (95% CI 22.8–23.0); age 65–79: 26.8% (26.6–26.9), n=394,791; age &gt;=80: 12.9% (12.7–13.1), n=135,661. Women-only, not a sex-effect estimate.</x:v>
      </x:c>
      <x:c r="K11" s="10" t="str">
        <x:v>Selected continuously enrolled MA/commercial women; MA descriptive results separable, adjusted models mix payers. Bone measurement broader than DXA; nonreceipt does not prove unmet need. Identity unresolved; no male comparator.</x:v>
      </x:c>
      <x:c r="L11" s="12" t="str">
        <x:v>https://pubmed.ncbi.nlm.nih.gov/27884649/</x:v>
      </x:c>
      <x:c r="M11" s="10" t="str">
        <x:v>research/review_2026-09-21/bone/extraction.json</x:v>
      </x:c>
    </x:row>
    <x:row r="12" ht="57" customHeight="1">
      <x:c r="A12" s="4" t="str">
        <x:v>L-P01</x:v>
      </x:c>
      <x:c r="B12" s="4" t="str">
        <x:v>39978776</x:v>
      </x:c>
      <x:c r="C12" s="4" t="str">
        <x:v>Price and Prejudice: Reimbursement of Surgical Care on Male Versus Female Anatomies.</x:v>
      </x:c>
      <x:c r="D12" s="4" t="str">
        <x:v>Provisional source review; human screening pending</x:v>
      </x:c>
      <x:c r="E12" s="4" t="str">
        <x:v>Source-verified PubMed/publisher abstract; search-indexed publisher PDF limitation excerpt. Full article not retrieved.</x:v>
      </x:c>
      <x:c r="F12" s="4" t="str">
        <x:v>Matched CPT-code pairs and fee-schedule years</x:v>
      </x:c>
      <x:c r="G12" s="4" t="str">
        <x:v>55 analogous male/female procedure pairs; 110 CPT codes</x:v>
      </x:c>
      <x:c r="H12" s="4" t="str">
        <x:v>Medicare fee schedule</x:v>
      </x:c>
      <x:c r="I12" s="4" t="str">
        <x:v>2023 cross-section; 2003–2023 trends</x:v>
      </x:c>
      <x:c r="J12" s="4" t="str">
        <x:v>Male procedures averaged 30% higher work RVUs, 25.6% higher physician facility-site payments and 20% higher nonfacility payments; 41/55 female procedures had lower RVUs.</x:v>
      </x:c>
      <x:c r="K12" s="4" t="str">
        <x:v>Selected anatomical pairs; no all-procedure estimate; excludes DRGs; limited operative-hour analysis; no causal identification.</x:v>
      </x:c>
      <x:c r="L12" s="11" t="str">
        <x:v>https://pubmed.ncbi.nlm.nih.gov/39978776/</x:v>
      </x:c>
      <x:c r="M12" s="4" t="str">
        <x:v>research/review_2026-09-21/valuation/extraction.json</x:v>
      </x:c>
    </x:row>
    <x:row r="13" ht="57" customHeight="1">
      <x:c r="A13" s="10" t="str">
        <x:v>L-P02</x:v>
      </x:c>
      <x:c r="B13" s="10" t="str">
        <x:v>38758183</x:v>
      </x:c>
      <x:c r="C13" s="10" t="str">
        <x:v>Comparison of Work Relative Value Units Assigned to Urological and Gynecological Surgical Procedures.</x:v>
      </x:c>
      <x:c r="D13" s="10" t="str">
        <x:v>Provisional source review; human screening pending</x:v>
      </x:c>
      <x:c r="E13" s="10" t="str">
        <x:v>Source-verified PubMed and journal abstract; same-author AUA News companion text/table accessed through search index. Peer-reviewed full text not retrieved.</x:v>
      </x:c>
      <x:c r="F13" s="10" t="str">
        <x:v>Matched procedure-code pairs and work/time valuations</x:v>
      </x:c>
      <x:c r="G13" s="10" t="str">
        <x:v>10 directly analogous code pairs</x:v>
      </x:c>
      <x:c r="H13" s="10" t="str">
        <x:v>Medicare work RVUs</x:v>
      </x:c>
      <x:c r="I13" s="10" t="str">
        <x:v>Valuations analyzed for 2024 publication</x:v>
      </x:c>
      <x:c r="J13" s="10" t="str">
        <x:v>Seven female procedures had higher work RVUs; three male procedures did. Overall differences in work RVUs and work RVUs per minute were not statistically significant.</x:v>
      </x:c>
      <x:c r="K13" s="10" t="str">
        <x:v>Small selected set; null does not establish equivalence. Journal abstract reports 10 pairs (7 female higher), AUA companion 9 (6 female higher). Full text, valuation year and numerical CIs pending.</x:v>
      </x:c>
      <x:c r="L13" s="12" t="str">
        <x:v>https://pubmed.ncbi.nlm.nih.gov/38758183/</x:v>
      </x:c>
      <x:c r="M13" s="10" t="str">
        <x:v>research/review_2026-09-21/valuation/extraction.json</x:v>
      </x:c>
    </x:row>
    <x:row r="14" ht="60" customHeight="1">
      <x:c r="A14" s="4" t="str">
        <x:v>L-P03</x:v>
      </x:c>
      <x:c r="B14" s="4" t="str">
        <x:v>34736273</x:v>
      </x:c>
      <x:c r="C14" s="4" t="str">
        <x:v>Reimbursement for Female-Specific Compared With Male-Specific Procedures Over Time.</x:v>
      </x:c>
      <x:c r="D14" s="4" t="str">
        <x:v>Provisional source review; human screening pending</x:v>
      </x:c>
      <x:c r="E14" s="4" t="str">
        <x:v>Full author manuscript including Methods, Results, Discussion and Table 1 retrieved through public NCBI PMC EFetch XML. Free full text; Europe PMC does not mark an open-access license.</x:v>
      </x:c>
      <x:c r="F14" s="4" t="str">
        <x:v>Matched procedures, NSQIP patient records and specialty compensation estimates</x:v>
      </x:c>
      <x:c r="G14" s="4" t="str">
        <x:v>12 pairs; 12,120 NSQIP patients</x:v>
      </x:c>
      <x:c r="H14" s="4" t="str">
        <x:v>RVUs plus specialty compensation survey, not Medicare-paid dollars</x:v>
      </x:c>
      <x:c r="I14" s="4" t="str">
        <x:v>NSQIP 2015–2018; historical 1997 RVUs</x:v>
      </x:c>
      <x:c r="J14" s="4" t="str">
        <x:v>Female procedures generated 10.6 versus 9.7 RVUs/hour, yet modeled specialty compensation was $555 versus $599/hour.</x:v>
      </x:c>
      <x:c r="K14" s="4" t="str">
        <x:v>Specialty compensation multipliers are not Medicare conversion factors; global/perioperative work omitted. Published arithmetic discrepancies flagged in extraction notes. NSQIP is not a Medicare-only cohort.</x:v>
      </x:c>
      <x:c r="L14" s="11" t="str">
        <x:v>https://pubmed.ncbi.nlm.nih.gov/34736273/</x:v>
      </x:c>
      <x:c r="M14" s="4" t="str">
        <x:v>research/review_2026-09-21/valuation/extraction.json</x:v>
      </x:c>
    </x:row>
    <x:row r="15" ht="57" customHeight="1">
      <x:c r="A15" s="10" t="str">
        <x:v>L-X01</x:v>
      </x:c>
      <x:c r="B15" s="10" t="str">
        <x:v>15692281</x:v>
      </x:c>
      <x:c r="C15" s="10" t="str">
        <x:v>Gender differences in drug use and expenditures in a privately insured population of older adults.</x:v>
      </x:c>
      <x:c r="D15" s="10" t="str">
        <x:v>Unresolved historical lead</x:v>
      </x:c>
      <x:c r="E15" s="10" t="str">
        <x:v>Verified abstract only</x:v>
      </x:c>
      <x:c r="F15" s="10" t="str">
        <x:v>See retrieval reference notes</x:v>
      </x:c>
      <x:c r="G15" s="10" t="str">
        <x:v>Outside active register; eligibility unresolved</x:v>
      </x:c>
      <x:c r="H15" s="10" t="str">
        <x:v>See retrieval notes</x:v>
      </x:c>
      <x:c r="I15" s="10" t="str">
        <x:v>See source</x:v>
      </x:c>
      <x:c r="J15" s="10" t="str">
        <x:v>Abstract reports average drug expenditures of $1,178 for women versus $1,009 for men (about 17% higher); not verified as OOP or reimbursement.</x:v>
      </x:c>
      <x:c r="K15" s="10" t="str">
        <x:v>Abstract-only drug-use/expenditure sex comparison; full text, payer composition, spending denominator and identity eligibility unresolved. Do not infer wrong payer from title alone.</x:v>
      </x:c>
      <x:c r="L15" s="12" t="str">
        <x:v>https://pubmed.ncbi.nlm.nih.gov/15692281/</x:v>
      </x:c>
      <x:c r="M15" s="10" t="str">
        <x:v>research/review_2026-09-21/drug_access/drug_access_candidates.json</x:v>
      </x:c>
    </x:row>
    <x:row r="16" ht="57" customHeight="1">
      <x:c r="A16" s="4" t="str">
        <x:v>L-X02</x:v>
      </x:c>
      <x:c r="B16" s="4" t="str">
        <x:v>36255428</x:v>
      </x:c>
      <x:c r="C16" s="4" t="str">
        <x:v>Prescription Drug Spending in Fee-for-Service Medicare, 2008-2019.</x:v>
      </x:c>
      <x:c r="D16" s="4" t="str">
        <x:v>Spending context outside active register</x:v>
      </x:c>
      <x:c r="E16" s="4" t="str">
        <x:v>Main full text and table inspected; supplement not inspected</x:v>
      </x:c>
      <x:c r="F16" s="4" t="str">
        <x:v>See retrieval reference notes</x:v>
      </x:c>
      <x:c r="G16" s="4" t="str">
        <x:v>Outside active register; eligibility unresolved</x:v>
      </x:c>
      <x:c r="H16" s="4" t="str">
        <x:v>See retrieval notes</x:v>
      </x:c>
      <x:c r="I16" s="4" t="str">
        <x:v>See source</x:v>
      </x:c>
      <x:c r="J16" s="4" t="str">
        <x:v>2008–2019 FFS A/B/D spending study; expenditure includes Medicare allowed amounts, other-payer payments and patient liabilities, not OOP alone.</x:v>
      </x:c>
      <x:c r="K16" s="4" t="str">
        <x:v>Accessed main report contains descriptive sex composition but no patient-sex outcome contrast.</x:v>
      </x:c>
      <x:c r="L16" s="11" t="str">
        <x:v>https://pubmed.ncbi.nlm.nih.gov/36255428/</x:v>
      </x:c>
      <x:c r="M16" s="4" t="str">
        <x:v>research/review_2026-09-21/drug_access/drug_access_candidates.json</x:v>
      </x:c>
    </x:row>
  </x:sheetData>
  <x:pageMargins left="0.7" right="0.7" top="0.75" bottom="0.75" header="0.3" footer="0.3"/>
  <x:tableParts count="1">
    <x:tablePart xmlns:r="http://schemas.openxmlformats.org/officeDocument/2006/relationships" r:id="Rfee09d50930b43c5"/>
  </x:tableParts>
</x:worksheet>
</file>

<file path=xl/worksheets/sheet3.xml><?xml version="1.0" encoding="utf-8"?>
<x:worksheet xmlns:x="http://schemas.openxmlformats.org/spreadsheetml/2006/main">
  <x:sheetPr>
    <x:tabColor rgb="FF166B70"/>
  </x:sheetPr>
  <x:sheetViews>
    <x:sheetView showGridLines="0" workbookViewId="0">
      <x:pane xSplit="2" ySplit="7" topLeftCell="C8" activePane="bottomRight" state="frozen"/>
    </x:sheetView>
  </x:sheetViews>
  <x:sheetFormatPr defaultRowHeight="15"/>
  <x:cols>
    <x:col min="1" max="1" width="10" hidden="0" customWidth="1"/>
    <x:col min="2" max="2" width="17.780000686645508" hidden="0" customWidth="1"/>
    <x:col min="3" max="3" width="32.220001220703125" hidden="0" customWidth="1"/>
    <x:col min="4" max="4" width="36.66999816894531" hidden="0" customWidth="1"/>
    <x:col min="5" max="5" width="36.66999816894531" hidden="0" customWidth="1"/>
    <x:col min="6" max="6" width="27.780000686645508" hidden="0" customWidth="1"/>
    <x:col min="7" max="7" width="12.220000267028809" hidden="0" customWidth="1"/>
    <x:col min="8" max="8" width="12.220000267028809" hidden="0" customWidth="1"/>
    <x:col min="9" max="9" width="12.220000267028809" hidden="0" customWidth="1"/>
    <x:col min="10" max="10" width="57.779998779296875" hidden="0" customWidth="1"/>
    <x:col min="11" max="11" width="62.220001220703125" hidden="0" customWidth="1"/>
    <x:col min="12" max="12" width="36.66999816894531" hidden="0" customWidth="1"/>
  </x:cols>
  <x:sheetData>
    <x:row r="1">
      <x:c r="A1" s="4"/>
      <x:c r="B1" s="4"/>
      <x:c r="C1" s="4"/>
      <x:c r="D1" s="4"/>
      <x:c r="E1" s="4"/>
      <x:c r="F1" s="4"/>
      <x:c r="G1" s="4"/>
      <x:c r="H1" s="4"/>
      <x:c r="I1" s="4"/>
      <x:c r="J1" s="4"/>
      <x:c r="K1" s="4"/>
      <x:c r="L1" s="4"/>
    </x:row>
    <x:row r="2" ht="34.5" customHeight="1">
      <x:c r="A2" s="4"/>
      <x:c r="B2" s="4"/>
      <x:c r="C2" s="4"/>
      <x:c r="D2" s="5" t="str">
        <x:v>Selected outcome estimates</x:v>
      </x:c>
      <x:c r="E2" s="4"/>
      <x:c r="F2" s="4"/>
      <x:c r="G2" s="4"/>
      <x:c r="H2" s="4"/>
      <x:c r="I2" s="4"/>
      <x:c r="J2" s="4"/>
      <x:c r="K2" s="4"/>
      <x:c r="L2" s="4"/>
    </x:row>
    <x:row r="3" ht="61.5" customHeight="1">
      <x:c r="A3" s="4"/>
      <x:c r="B3" s="4"/>
      <x:c r="C3" s="4"/>
      <x:c r="D3" s="4" t="str">
        <x:v>Keep outcomes, populations and units separate. The odds-ratio columns contain 95% confidence limits only. Empty numeric fields mean the source uses a different measure or lacks the estimate.</x:v>
      </x:c>
      <x:c r="E3" s="4"/>
      <x:c r="F3" s="4"/>
      <x:c r="G3" s="4"/>
      <x:c r="H3" s="4"/>
      <x:c r="I3" s="4"/>
      <x:c r="J3" s="4"/>
      <x:c r="K3" s="4"/>
      <x:c r="L3" s="4"/>
    </x:row>
    <x:row r="4">
      <x:c r="A4" s="4"/>
      <x:c r="B4" s="4"/>
      <x:c r="C4" s="4"/>
      <x:c r="D4" s="4"/>
      <x:c r="E4" s="4"/>
      <x:c r="F4" s="4"/>
      <x:c r="G4" s="4"/>
      <x:c r="H4" s="4"/>
      <x:c r="I4" s="4"/>
      <x:c r="J4" s="4"/>
      <x:c r="K4" s="4"/>
      <x:c r="L4" s="4"/>
    </x:row>
    <x:row r="5">
      <x:c r="A5" s="4"/>
      <x:c r="B5" s="4"/>
      <x:c r="C5" s="4"/>
      <x:c r="D5" s="4"/>
      <x:c r="E5" s="4"/>
      <x:c r="F5" s="4"/>
      <x:c r="G5" s="4"/>
      <x:c r="H5" s="4"/>
      <x:c r="I5" s="4"/>
      <x:c r="J5" s="4"/>
      <x:c r="K5" s="4"/>
      <x:c r="L5" s="4"/>
    </x:row>
    <x:row r="6">
      <x:c r="A6" s="4"/>
      <x:c r="B6" s="4"/>
      <x:c r="C6" s="4"/>
      <x:c r="D6" s="4"/>
      <x:c r="E6" s="4"/>
      <x:c r="F6" s="4"/>
      <x:c r="G6" s="4"/>
      <x:c r="H6" s="4"/>
      <x:c r="I6" s="4"/>
      <x:c r="J6" s="4"/>
      <x:c r="K6" s="4"/>
      <x:c r="L6" s="4"/>
    </x:row>
    <x:row r="7" ht="33" customHeight="1">
      <x:c r="A7" s="9" t="str">
        <x:v>Study ID</x:v>
      </x:c>
      <x:c r="B7" s="9" t="str">
        <x:v>PMID</x:v>
      </x:c>
      <x:c r="C7" s="9" t="str">
        <x:v>Outcome</x:v>
      </x:c>
      <x:c r="D7" s="9" t="str">
        <x:v>Population / period</x:v>
      </x:c>
      <x:c r="E7" s="9" t="str">
        <x:v>Comparison</x:v>
      </x:c>
      <x:c r="F7" s="9" t="str">
        <x:v>Effect measure</x:v>
      </x:c>
      <x:c r="G7" s="9" t="str">
        <x:v>Estimate</x:v>
      </x:c>
      <x:c r="H7" s="9" t="str">
        <x:v>95% CI lower</x:v>
      </x:c>
      <x:c r="I7" s="9" t="str">
        <x:v>95% CI upper</x:v>
      </x:c>
      <x:c r="J7" s="9" t="str">
        <x:v>Other reported result</x:v>
      </x:c>
      <x:c r="K7" s="9" t="str">
        <x:v>Source location and interpretation boundary</x:v>
      </x:c>
      <x:c r="L7" s="9" t="str">
        <x:v>Source URL</x:v>
      </x:c>
    </x:row>
    <x:row r="8" ht="57" customHeight="1">
      <x:c r="A8" s="4" t="str">
        <x:v>L-R01</x:v>
      </x:c>
      <x:c r="B8" s="4" t="str">
        <x:v>33298705</x:v>
      </x:c>
      <x:c r="C8" s="4" t="str">
        <x:v>Any cost-related nonadherence</x:v>
      </x:c>
      <x:c r="D8" s="4" t="str">
        <x:v>Medicare &lt;65; MCBS 2016</x:v>
      </x:c>
      <x:c r="E8" s="4" t="str">
        <x:v>Female versus male</x:v>
      </x:c>
      <x:c r="F8" s="4" t="str">
        <x:v>Adjusted odds ratio</x:v>
      </x:c>
      <x:c r="G8" s="13" t="n">
        <x:v>1.66</x:v>
      </x:c>
      <x:c r="H8" s="13" t="n">
        <x:v>1.31</x:v>
      </x:c>
      <x:c r="I8" s="13" t="n">
        <x:v>2.1</x:v>
      </x:c>
      <x:c r="J8" s="4" t="str">
        <x:v>Weighted prevalence: 40.5% versus 28.5%.</x:v>
      </x:c>
      <x:c r="K8" s="4" t="str">
        <x:v>Table 3; 95% CI; cross-sectional. Sex from enrollment; identity unresolved.</x:v>
      </x:c>
      <x:c r="L8" s="4" t="str">
        <x:v>https://pubmed.ncbi.nlm.nih.gov/33298705/</x:v>
      </x:c>
    </x:row>
    <x:row r="9" ht="57" customHeight="1">
      <x:c r="A9" s="10" t="str">
        <x:v>L-R01</x:v>
      </x:c>
      <x:c r="B9" s="10" t="str">
        <x:v>33298705</x:v>
      </x:c>
      <x:c r="C9" s="10" t="str">
        <x:v>Any cost-related nonadherence</x:v>
      </x:c>
      <x:c r="D9" s="10" t="str">
        <x:v>Medicare &gt;=65; MCBS 2016</x:v>
      </x:c>
      <x:c r="E9" s="10" t="str">
        <x:v>Female versus male</x:v>
      </x:c>
      <x:c r="F9" s="10" t="str">
        <x:v>Adjusted odds ratio</x:v>
      </x:c>
      <x:c r="G9" s="14" t="n">
        <x:v>1.21</x:v>
      </x:c>
      <x:c r="H9" s="14" t="n">
        <x:v>1.04</x:v>
      </x:c>
      <x:c r="I9" s="14" t="n">
        <x:v>1.41</x:v>
      </x:c>
      <x:c r="J9" s="10" t="str">
        <x:v>Weighted prevalence: 15.7% versus 12.8%.</x:v>
      </x:c>
      <x:c r="K9" s="10" t="str">
        <x:v>Table 3; 95% CI. Cohort N differs from outcome respondent N.</x:v>
      </x:c>
      <x:c r="L9" s="10" t="str">
        <x:v>https://pubmed.ncbi.nlm.nih.gov/33298705/</x:v>
      </x:c>
    </x:row>
    <x:row r="10" ht="57" customHeight="1">
      <x:c r="A10" s="4" t="str">
        <x:v>L-R02</x:v>
      </x:c>
      <x:c r="B10" s="4" t="str">
        <x:v>33656528</x:v>
      </x:c>
      <x:c r="C10" s="4" t="str">
        <x:v>Persistent nonadherence (&gt;=3 surveys)</x:v>
      </x:c>
      <x:c r="D10" s="4" t="str">
        <x:v>Selected Chicago Medicare cohort, 2012–2018</x:v>
      </x:c>
      <x:c r="E10" s="4" t="str">
        <x:v>Female versus male</x:v>
      </x:c>
      <x:c r="F10" s="4" t="str">
        <x:v>Adjusted odds ratio</x:v>
      </x:c>
      <x:c r="G10" s="13" t="n">
        <x:v>1.36</x:v>
      </x:c>
      <x:c r="H10" s="13" t="n">
        <x:v>0.95</x:v>
      </x:c>
      <x:c r="I10" s="13" t="n">
        <x:v>1.95</x:v>
      </x:c>
      <x:c r="J10" s="4" t="str">
        <x:v>162/1,036 (15.6%) versus 68/619 (11.0%); adjusted P=.10.</x:v>
      </x:c>
      <x:c r="K10" s="4" t="str">
        <x:v>Table 2; 95% CI. Different endpoint from L-R01; imprecise estimate; identity unresolved.</x:v>
      </x:c>
      <x:c r="L10" s="4" t="str">
        <x:v>https://pubmed.ncbi.nlm.nih.gov/33656528/</x:v>
      </x:c>
    </x:row>
    <x:row r="11" ht="57" customHeight="1">
      <x:c r="A11" s="10" t="str">
        <x:v>L-R02</x:v>
      </x:c>
      <x:c r="B11" s="10" t="str">
        <x:v>33656528</x:v>
      </x:c>
      <x:c r="C11" s="10" t="str">
        <x:v>Transient nonadherence (1 survey)</x:v>
      </x:c>
      <x:c r="D11" s="10" t="str">
        <x:v>Selected Chicago Medicare cohort, 2012–2018</x:v>
      </x:c>
      <x:c r="E11" s="10" t="str">
        <x:v>Female versus male</x:v>
      </x:c>
      <x:c r="F11" s="10" t="str">
        <x:v>Adjusted odds ratio</x:v>
      </x:c>
      <x:c r="G11" s="14" t="n">
        <x:v>0.81</x:v>
      </x:c>
      <x:c r="H11" s="14" t="n">
        <x:v>0.62</x:v>
      </x:c>
      <x:c r="I11" s="14" t="n">
        <x:v>1.07</x:v>
      </x:c>
      <x:c r="J11" s="10" t="str">
        <x:v>Adjusted P=.15.</x:v>
      </x:c>
      <x:c r="K11" s="10" t="str">
        <x:v>Table 2; 95% CI. Preserve contrary direction and uncertainty; exact model denominator requires verification.</x:v>
      </x:c>
      <x:c r="L11" s="10" t="str">
        <x:v>https://pubmed.ncbi.nlm.nih.gov/33656528/</x:v>
      </x:c>
    </x:row>
    <x:row r="12" ht="57" customHeight="1">
      <x:c r="A12" s="4" t="str">
        <x:v>L-R03</x:v>
      </x:c>
      <x:c r="B12" s="4" t="str">
        <x:v>38459983</x:v>
      </x:c>
      <x:c r="C12" s="4" t="str">
        <x:v>DXA receipt</x:v>
      </x:c>
      <x:c r="D12" s="4" t="str">
        <x:v>Asian American Medicare subgroup</x:v>
      </x:c>
      <x:c r="E12" s="4" t="str">
        <x:v>Women &gt;=65 versus men &gt;=70</x:v>
      </x:c>
      <x:c r="F12" s="4" t="str">
        <x:v>Crude percentages</x:v>
      </x:c>
      <x:c r="G12" s="13"/>
      <x:c r="H12" s="13"/>
      <x:c r="I12" s="13"/>
      <x:c r="J12" s="4" t="str">
        <x:v>19.8% versus 5.0%; P&lt;.001.</x:v>
      </x:c>
      <x:c r="K12" s="4" t="str">
        <x:v>Abstract only. Different age thresholds; sex denominators and adjusted sex effect unavailable. Not a national adjusted comparison.</x:v>
      </x:c>
      <x:c r="L12" s="4" t="str">
        <x:v>https://pubmed.ncbi.nlm.nih.gov/38459983/</x:v>
      </x:c>
    </x:row>
    <x:row r="13" ht="57" customHeight="1">
      <x:c r="A13" s="10" t="str">
        <x:v>L-R04</x:v>
      </x:c>
      <x:c r="B13" s="10" t="str">
        <x:v>27884649</x:v>
      </x:c>
      <x:c r="C13" s="10" t="str">
        <x:v>Bone mass measurement within two years</x:v>
      </x:c>
      <x:c r="D13" s="10" t="str">
        <x:v>Medicare Advantage women, 2008–2014</x:v>
      </x:c>
      <x:c r="E13" s="10" t="str">
        <x:v>Age &gt;=80 versus 65–79</x:v>
      </x:c>
      <x:c r="F13" s="10" t="str">
        <x:v>Crude percentages</x:v>
      </x:c>
      <x:c r="G13" s="14"/>
      <x:c r="H13" s="14"/>
      <x:c r="I13" s="14"/>
      <x:c r="J13" s="10" t="str">
        <x:v>12.9% (95% CI 12.7–13.1) versus 26.8% (26.6–26.9).</x:v>
      </x:c>
      <x:c r="K13" s="10" t="str">
        <x:v>Table 2; women only. N=135,661 versus 394,791. Broader than DXA; no male/female effect.</x:v>
      </x:c>
      <x:c r="L13" s="10" t="str">
        <x:v>https://pubmed.ncbi.nlm.nih.gov/27884649/</x:v>
      </x:c>
    </x:row>
    <x:row r="14" ht="57" customHeight="1">
      <x:c r="A14" s="4" t="str">
        <x:v>L-P01</x:v>
      </x:c>
      <x:c r="B14" s="4" t="str">
        <x:v>39978776</x:v>
      </x:c>
      <x:c r="C14" s="4" t="str">
        <x:v>Per-procedure work RVU</x:v>
      </x:c>
      <x:c r="D14" s="4" t="str">
        <x:v>55 selected procedure pairs; 2023 valuation</x:v>
      </x:c>
      <x:c r="E14" s="4" t="str">
        <x:v>Male-associated versus female-associated procedures</x:v>
      </x:c>
      <x:c r="F14" s="4" t="str">
        <x:v>Published mean relative difference</x:v>
      </x:c>
      <x:c r="G14" s="13"/>
      <x:c r="H14" s="13"/>
      <x:c r="I14" s="13"/>
      <x:c r="J14" s="4" t="str">
        <x:v>Male-associated procedures averaged 30% higher work RVU; 41/55 female-associated procedures had lower work RVU.</x:v>
      </x:c>
      <x:c r="K14" s="4" t="str">
        <x:v>Abstract only. Pair selection and time adjustment require full-text review. Code valuation is distinct from patient or physician sex effects.</x:v>
      </x:c>
      <x:c r="L14" s="4" t="str">
        <x:v>https://pubmed.ncbi.nlm.nih.gov/39978776/</x:v>
      </x:c>
    </x:row>
    <x:row r="15" ht="57" customHeight="1">
      <x:c r="A15" s="10" t="str">
        <x:v>L-P02</x:v>
      </x:c>
      <x:c r="B15" s="10" t="str">
        <x:v>38758183</x:v>
      </x:c>
      <x:c r="C15" s="10" t="str">
        <x:v>RVU and RVU per minute</x:v>
      </x:c>
      <x:c r="D15" s="10" t="str">
        <x:v>Selected clinically matched procedure pairs</x:v>
      </x:c>
      <x:c r="E15" s="10" t="str">
        <x:v>Female-associated versus male-associated procedures</x:v>
      </x:c>
      <x:c r="F15" s="10" t="str">
        <x:v>Null reported; CI unavailable</x:v>
      </x:c>
      <x:c r="G15" s="14"/>
      <x:c r="H15" s="14"/>
      <x:c r="I15" s="14"/>
      <x:c r="J15" s="10" t="str">
        <x:v>Journal abstract: 10 pairs, 7 female higher / 3 male higher; no significant aggregate difference reported.</x:v>
      </x:c>
      <x:c r="K15" s="10" t="str">
        <x:v>Full text pending. AUA companion reports 9 pairs / 6 female higher; discrepancy unresolved. Null is not equivalence.</x:v>
      </x:c>
      <x:c r="L15" s="10" t="str">
        <x:v>https://pubmed.ncbi.nlm.nih.gov/38758183/</x:v>
      </x:c>
    </x:row>
    <x:row r="16" ht="57" customHeight="1">
      <x:c r="A16" s="4" t="str">
        <x:v>L-P03</x:v>
      </x:c>
      <x:c r="B16" s="4" t="str">
        <x:v>34736273</x:v>
      </x:c>
      <x:c r="C16" s="4" t="str">
        <x:v>Work RVU per operative hour</x:v>
      </x:c>
      <x:c r="D16" s="4" t="str">
        <x:v>12 pairs / 25 CPT codes; 12,120 NSQIP cases 2015–2018</x:v>
      </x:c>
      <x:c r="E16" s="4" t="str">
        <x:v>Female-specific versus male-specific procedure labels</x:v>
      </x:c>
      <x:c r="F16" s="4" t="str">
        <x:v>Median and IQR</x:v>
      </x:c>
      <x:c r="G16" s="13"/>
      <x:c r="H16" s="13"/>
      <x:c r="I16" s="13"/>
      <x:c r="J16" s="4" t="str">
        <x:v>10.6 (IQR 7.2–16.2) versus 9.7 (7.4–12.8); P&lt;.001.</x:v>
      </x:c>
      <x:c r="K16" s="4" t="str">
        <x:v>Main text / Table 1. NSQIP is not a Medicare-only cohort. IQR is not confidence interval; full perioperative work omitted.</x:v>
      </x:c>
      <x:c r="L16" s="4" t="str">
        <x:v>https://pubmed.ncbi.nlm.nih.gov/34736273/</x:v>
      </x:c>
    </x:row>
    <x:row r="17" ht="57" customHeight="1">
      <x:c r="A17" s="10" t="str">
        <x:v>L-P03</x:v>
      </x:c>
      <x:c r="B17" s="10" t="str">
        <x:v>34736273</x:v>
      </x:c>
      <x:c r="C17" s="10" t="str">
        <x:v>Modeled specialty compensation per hour</x:v>
      </x:c>
      <x:c r="D17" s="10" t="str">
        <x:v>Same selected procedure set</x:v>
      </x:c>
      <x:c r="E17" s="10" t="str">
        <x:v>Female-specific versus male-specific procedure labels</x:v>
      </x:c>
      <x:c r="F17" s="10" t="str">
        <x:v>Median USD/hour and IQR</x:v>
      </x:c>
      <x:c r="G17" s="14"/>
      <x:c r="H17" s="14"/>
      <x:c r="I17" s="14"/>
      <x:c r="J17" s="10" t="str">
        <x:v>$555 (IQR 377–843) versus $599 (457–790); P&lt;.001.</x:v>
      </x:c>
      <x:c r="K17" s="10" t="str">
        <x:v>Specialty survey compensation multipliers, not Medicare reimbursement rates. Published arithmetic discrepancies require verification.</x:v>
      </x:c>
      <x:c r="L17" s="10" t="str">
        <x:v>https://pubmed.ncbi.nlm.nih.gov/34736273/</x:v>
      </x:c>
    </x:row>
  </x:sheetData>
  <x:pageMargins left="0.7" right="0.7" top="0.75" bottom="0.75" header="0.3" footer="0.3"/>
  <x:tableParts count="1">
    <x:tablePart xmlns:r="http://schemas.openxmlformats.org/officeDocument/2006/relationships" r:id="R6eb3d1d904384241"/>
  </x:tableParts>
</x:worksheet>
</file>

<file path=xl/worksheets/sheet4.xml><?xml version="1.0" encoding="utf-8"?>
<x:worksheet xmlns:x="http://schemas.openxmlformats.org/spreadsheetml/2006/main">
  <x:sheetPr>
    <x:tabColor rgb="FF166B70"/>
  </x:sheetPr>
  <x:sheetViews>
    <x:sheetView showGridLines="0" workbookViewId="0">
      <x:pane xSplit="2" ySplit="7" topLeftCell="C8" activePane="bottomRight" state="frozen"/>
    </x:sheetView>
  </x:sheetViews>
  <x:sheetFormatPr defaultRowHeight="15"/>
  <x:cols>
    <x:col min="1" max="1" width="12.220000267028809" hidden="0" customWidth="1"/>
    <x:col min="2" max="2" width="55.560001373291016" hidden="0" customWidth="1"/>
    <x:col min="3" max="3" width="20.559999465942383" hidden="0" customWidth="1"/>
    <x:col min="4" max="4" width="18.329999923706055" hidden="0" customWidth="1"/>
    <x:col min="5" max="5" width="15" hidden="0" customWidth="1"/>
    <x:col min="6" max="6" width="18.329999923706055" hidden="0" customWidth="1"/>
    <x:col min="7" max="7" width="15" hidden="0" customWidth="1"/>
    <x:col min="8" max="8" width="16.670000076293945" hidden="0" customWidth="1"/>
    <x:col min="9" max="9" width="34.439998626708984" hidden="0" customWidth="1"/>
    <x:col min="10" max="10" width="13.890000343322754" hidden="0" customWidth="1"/>
    <x:col min="11" max="11" width="11.109999656677246" hidden="0" customWidth="1"/>
    <x:col min="12" max="12" width="40" hidden="0" customWidth="1"/>
    <x:col min="13" max="13" width="40" hidden="0" customWidth="1"/>
    <x:col min="14" max="14" width="8.890000343322754" hidden="0" customWidth="1"/>
    <x:col min="15" max="15" width="31.110000610351562" hidden="0" customWidth="1"/>
    <x:col min="16" max="16" width="32.220001220703125" hidden="0" customWidth="1"/>
    <x:col min="17" max="17" width="36.66999816894531" hidden="0" customWidth="1"/>
    <x:col min="18" max="18" width="15.5600004196167" hidden="0" customWidth="1"/>
  </x:cols>
  <x:sheetData>
    <x:row r="1">
      <x:c r="A1" s="4"/>
      <x:c r="B1" s="4"/>
      <x:c r="C1" s="4"/>
      <x:c r="D1" s="4"/>
      <x:c r="E1" s="4"/>
      <x:c r="F1" s="4"/>
      <x:c r="G1" s="4"/>
      <x:c r="H1" s="4"/>
      <x:c r="I1" s="4"/>
      <x:c r="J1" s="4"/>
      <x:c r="K1" s="4"/>
      <x:c r="L1" s="4"/>
      <x:c r="M1" s="4"/>
      <x:c r="N1" s="4"/>
      <x:c r="O1" s="4"/>
      <x:c r="P1" s="4"/>
      <x:c r="Q1" s="4"/>
      <x:c r="R1" s="4"/>
    </x:row>
    <x:row r="2" ht="34.5" customHeight="1">
      <x:c r="A2" s="4"/>
      <x:c r="B2" s="5" t="str">
        <x:v>Human screening calibration</x:v>
      </x:c>
      <x:c r="C2" s="4"/>
      <x:c r="D2" s="4"/>
      <x:c r="E2" s="4"/>
      <x:c r="F2" s="4"/>
      <x:c r="G2" s="4"/>
      <x:c r="H2" s="4"/>
      <x:c r="I2" s="4"/>
      <x:c r="J2" s="4"/>
      <x:c r="K2" s="4"/>
      <x:c r="L2" s="4"/>
      <x:c r="M2" s="4"/>
      <x:c r="N2" s="4"/>
      <x:c r="O2" s="4"/>
      <x:c r="P2" s="4"/>
      <x:c r="Q2" s="4"/>
      <x:c r="R2" s="4"/>
    </x:row>
    <x:row r="3" ht="49.5" customHeight="1">
      <x:c r="A3" s="4"/>
      <x:c r="B3" s="4" t="str">
        <x:v>50 deliberately selected records for reviewer calibration; not a representative sample or final inclusion set. Enter separate reviewer names and decisions in amber cells. Sex reporting alone does not confirm cisgender eligibility.</x:v>
      </x:c>
      <x:c r="C3" s="4"/>
      <x:c r="D3" s="4"/>
      <x:c r="E3" s="4"/>
      <x:c r="F3" s="4"/>
      <x:c r="G3" s="4"/>
      <x:c r="H3" s="4"/>
      <x:c r="I3" s="4"/>
      <x:c r="J3" s="4"/>
      <x:c r="K3" s="4"/>
      <x:c r="L3" s="4"/>
      <x:c r="M3" s="4"/>
      <x:c r="N3" s="4"/>
      <x:c r="O3" s="4"/>
      <x:c r="P3" s="4"/>
      <x:c r="Q3" s="4"/>
      <x:c r="R3" s="4"/>
    </x:row>
    <x:row r="4">
      <x:c r="A4" s="4"/>
      <x:c r="B4" s="4"/>
      <x:c r="C4" s="4"/>
      <x:c r="D4" s="4"/>
      <x:c r="E4" s="4"/>
      <x:c r="F4" s="4"/>
      <x:c r="G4" s="4"/>
      <x:c r="H4" s="4"/>
      <x:c r="I4" s="4"/>
      <x:c r="J4" s="4"/>
      <x:c r="K4" s="4"/>
      <x:c r="L4" s="4"/>
      <x:c r="M4" s="4"/>
      <x:c r="N4" s="4"/>
      <x:c r="O4" s="4"/>
      <x:c r="P4" s="4"/>
      <x:c r="Q4" s="4"/>
      <x:c r="R4" s="4"/>
    </x:row>
    <x:row r="5">
      <x:c r="A5" s="4"/>
      <x:c r="B5" s="4"/>
      <x:c r="C5" s="4"/>
      <x:c r="D5" s="4"/>
      <x:c r="E5" s="4"/>
      <x:c r="F5" s="4"/>
      <x:c r="G5" s="4"/>
      <x:c r="H5" s="4"/>
      <x:c r="I5" s="4"/>
      <x:c r="J5" s="4"/>
      <x:c r="K5" s="4"/>
      <x:c r="L5" s="4"/>
      <x:c r="M5" s="4"/>
      <x:c r="N5" s="4"/>
      <x:c r="O5" s="4"/>
      <x:c r="P5" s="4"/>
      <x:c r="Q5" s="4"/>
      <x:c r="R5" s="4"/>
    </x:row>
    <x:row r="6">
      <x:c r="A6" s="4"/>
      <x:c r="B6" s="4"/>
      <x:c r="C6" s="4"/>
      <x:c r="D6" s="4"/>
      <x:c r="E6" s="4"/>
      <x:c r="F6" s="4"/>
      <x:c r="G6" s="4"/>
      <x:c r="H6" s="4"/>
      <x:c r="I6" s="4"/>
      <x:c r="J6" s="4"/>
      <x:c r="K6" s="4"/>
      <x:c r="L6" s="4"/>
      <x:c r="M6" s="4"/>
      <x:c r="N6" s="4"/>
      <x:c r="O6" s="4"/>
      <x:c r="P6" s="4"/>
      <x:c r="Q6" s="4"/>
      <x:c r="R6" s="4"/>
    </x:row>
    <x:row r="7" ht="33" customHeight="1">
      <x:c r="A7" s="9" t="str">
        <x:v>PMID</x:v>
      </x:c>
      <x:c r="B7" s="9" t="str">
        <x:v>Title</x:v>
      </x:c>
      <x:c r="C7" s="9" t="str">
        <x:v>Review status</x:v>
      </x:c>
      <x:c r="D7" s="9" t="str">
        <x:v>Reviewer 1 name</x:v>
      </x:c>
      <x:c r="E7" s="9" t="str">
        <x:v>Reviewer 1 decision</x:v>
      </x:c>
      <x:c r="F7" s="9" t="str">
        <x:v>Reviewer 2 name</x:v>
      </x:c>
      <x:c r="G7" s="9" t="str">
        <x:v>Reviewer 2 decision</x:v>
      </x:c>
      <x:c r="H7" s="9" t="str">
        <x:v>Adjudicated decision</x:v>
      </x:c>
      <x:c r="I7" s="9" t="str">
        <x:v>Exclusion reason / discussion</x:v>
      </x:c>
      <x:c r="J7" s="9" t="str">
        <x:v>Decision date</x:v>
      </x:c>
      <x:c r="K7" s="9" t="str">
        <x:v>Existing study ID</x:v>
      </x:c>
      <x:c r="L7" s="9" t="str">
        <x:v>Sampling basis</x:v>
      </x:c>
      <x:c r="M7" s="9" t="str">
        <x:v>Authors</x:v>
      </x:c>
      <x:c r="N7" s="9" t="str">
        <x:v>Year</x:v>
      </x:c>
      <x:c r="O7" s="9" t="str">
        <x:v>Journal / book</x:v>
      </x:c>
      <x:c r="P7" s="9" t="str">
        <x:v>DOI</x:v>
      </x:c>
      <x:c r="Q7" s="9" t="str">
        <x:v>PubMed URL</x:v>
      </x:c>
      <x:c r="R7" s="9" t="str">
        <x:v>Full abstract location</x:v>
      </x:c>
    </x:row>
    <x:row r="8" ht="57" customHeight="1">
      <x:c r="A8" s="4" t="str">
        <x:v>33273290</x:v>
      </x:c>
      <x:c r="B8" s="4" t="str">
        <x:v>Evaluation of an Osteoporosis Outreach Program for Men With a Fragility Fracture and Their Physicians.</x:v>
      </x:c>
      <x:c r="C8" s="4" t="str">
        <x:f>IF(OR(D8="",E8="",F8="",G8=""),"Awaiting two reviews",IF(D8=F8,"Check reviewer names",IF(OR(E8&lt;&gt;G8,E8="Unclear"),IF(OR(H8="",H8="Unclear"),"Resolve disagreement",IF(AND(H8="Exclude",I8=""),"Add exclusion reason","Adjudicated")),IF(AND(E8="Exclude",I8=""),"Add exclusion reason","Concordant"))))</x:f>
        <x:v>Awaiting two reviews</x:v>
      </x:c>
      <x:c r="D8" s="15" t="str"/>
      <x:c r="E8" s="15" t="str"/>
      <x:c r="F8" s="15" t="str"/>
      <x:c r="G8" s="15" t="str"/>
      <x:c r="H8" s="15" t="str"/>
      <x:c r="I8" s="15" t="str"/>
      <x:c r="J8" s="18" t="str"/>
      <x:c r="K8" s="4" t="str">
        <x:v>L-G05</x:v>
      </x:c>
      <x:c r="L8" s="4" t="str">
        <x:v>Known source for calibration; not automatically included</x:v>
      </x:c>
      <x:c r="M8" s="4" t="str">
        <x:v>Pasquale MK; Sheer RL; Yehoshua A; McFadden A; Chines A; Caloyeras J</x:v>
      </x:c>
      <x:c r="N8" s="16" t="n">
        <x:v>2021</x:v>
      </x:c>
      <x:c r="O8" s="4" t="str">
        <x:v>Medical care</x:v>
      </x:c>
      <x:c r="P8" s="4" t="str">
        <x:v>10.1097/MLR.0000000000001459</x:v>
      </x:c>
      <x:c r="Q8" s="4" t="str">
        <x:v>https://pubmed.ncbi.nlm.nih.gov/33273290/</x:v>
      </x:c>
      <x:c r="R8" s="4" t="str">
        <x:v>Abstracts row 8</x:v>
      </x:c>
    </x:row>
    <x:row r="9" ht="57" customHeight="1">
      <x:c r="A9" s="10" t="str">
        <x:v>34736273</x:v>
      </x:c>
      <x:c r="B9" s="10" t="str">
        <x:v>Reimbursement for Female-Specific Compared With Male-Specific Procedures Over Time.</x:v>
      </x:c>
      <x:c r="C9" s="10" t="str">
        <x:f>IF(OR(D9="",E9="",F9="",G9=""),"Awaiting two reviews",IF(D9=F9,"Check reviewer names",IF(OR(E9&lt;&gt;G9,E9="Unclear"),IF(OR(H9="",H9="Unclear"),"Resolve disagreement",IF(AND(H9="Exclude",I9=""),"Add exclusion reason","Adjudicated")),IF(AND(E9="Exclude",I9=""),"Add exclusion reason","Concordant"))))</x:f>
        <x:v>Awaiting two reviews</x:v>
      </x:c>
      <x:c r="D9" s="15" t="str"/>
      <x:c r="E9" s="15" t="str"/>
      <x:c r="F9" s="15" t="str"/>
      <x:c r="G9" s="15" t="str"/>
      <x:c r="H9" s="15" t="str"/>
      <x:c r="I9" s="15" t="str"/>
      <x:c r="J9" s="18" t="str"/>
      <x:c r="K9" s="10" t="str">
        <x:v>L-P03</x:v>
      </x:c>
      <x:c r="L9" s="10" t="str">
        <x:v>Known source for calibration; not automatically included</x:v>
      </x:c>
      <x:c r="M9" s="10" t="str">
        <x:v>Polan RM; Barber EL</x:v>
      </x:c>
      <x:c r="N9" s="17" t="n">
        <x:v>2021</x:v>
      </x:c>
      <x:c r="O9" s="10" t="str">
        <x:v>Obstetrics and gynecology</x:v>
      </x:c>
      <x:c r="P9" s="10" t="str">
        <x:v>10.1097/AOG.0000000000004599</x:v>
      </x:c>
      <x:c r="Q9" s="10" t="str">
        <x:v>https://pubmed.ncbi.nlm.nih.gov/34736273/</x:v>
      </x:c>
      <x:c r="R9" s="10" t="str">
        <x:v>Abstracts row 9</x:v>
      </x:c>
    </x:row>
    <x:row r="10" ht="57" customHeight="1">
      <x:c r="A10" s="4" t="str">
        <x:v>38758183</x:v>
      </x:c>
      <x:c r="B10" s="4" t="str">
        <x:v>Comparison of Work Relative Value Units Assigned to Urological and Gynecological Surgical Procedures.</x:v>
      </x:c>
      <x:c r="C10" s="4" t="str">
        <x:f>IF(OR(D10="",E10="",F10="",G10=""),"Awaiting two reviews",IF(D10=F10,"Check reviewer names",IF(OR(E10&lt;&gt;G10,E10="Unclear"),IF(OR(H10="",H10="Unclear"),"Resolve disagreement",IF(AND(H10="Exclude",I10=""),"Add exclusion reason","Adjudicated")),IF(AND(E10="Exclude",I10=""),"Add exclusion reason","Concordant"))))</x:f>
        <x:v>Awaiting two reviews</x:v>
      </x:c>
      <x:c r="D10" s="15" t="str"/>
      <x:c r="E10" s="15" t="str"/>
      <x:c r="F10" s="15" t="str"/>
      <x:c r="G10" s="15" t="str"/>
      <x:c r="H10" s="15" t="str"/>
      <x:c r="I10" s="15" t="str"/>
      <x:c r="J10" s="18" t="str"/>
      <x:c r="K10" s="4" t="str">
        <x:v>L-P02</x:v>
      </x:c>
      <x:c r="L10" s="4" t="str">
        <x:v>Known source for calibration; not automatically included</x:v>
      </x:c>
      <x:c r="M10" s="4" t="str">
        <x:v>Hathaway JK; Schuster MS; Richards KA; Turk TMT</x:v>
      </x:c>
      <x:c r="N10" s="16" t="n">
        <x:v>2024</x:v>
      </x:c>
      <x:c r="O10" s="4" t="str">
        <x:v>Urology practice</x:v>
      </x:c>
      <x:c r="P10" s="4" t="str">
        <x:v>10.1097/UPJ.0000000000000612</x:v>
      </x:c>
      <x:c r="Q10" s="4" t="str">
        <x:v>https://pubmed.ncbi.nlm.nih.gov/38758183/</x:v>
      </x:c>
      <x:c r="R10" s="4" t="str">
        <x:v>Abstracts row 10</x:v>
      </x:c>
    </x:row>
    <x:row r="11" ht="57" customHeight="1">
      <x:c r="A11" s="10" t="str">
        <x:v>39046733</x:v>
      </x:c>
      <x:c r="B11" s="10" t="str">
        <x:v>Gender-Based Variations in Medicare Reimbursements Among Different Surgical Subspecialties.</x:v>
      </x:c>
      <x:c r="C11" s="10" t="str">
        <x:f>IF(OR(D11="",E11="",F11="",G11=""),"Awaiting two reviews",IF(D11=F11,"Check reviewer names",IF(OR(E11&lt;&gt;G11,E11="Unclear"),IF(OR(H11="",H11="Unclear"),"Resolve disagreement",IF(AND(H11="Exclude",I11=""),"Add exclusion reason","Adjudicated")),IF(AND(E11="Exclude",I11=""),"Add exclusion reason","Concordant"))))</x:f>
        <x:v>Awaiting two reviews</x:v>
      </x:c>
      <x:c r="D11" s="15" t="str"/>
      <x:c r="E11" s="15" t="str"/>
      <x:c r="F11" s="15" t="str"/>
      <x:c r="G11" s="15" t="str"/>
      <x:c r="H11" s="15" t="str"/>
      <x:c r="I11" s="15" t="str"/>
      <x:c r="J11" s="18" t="str"/>
      <x:c r="K11" s="10" t="str">
        <x:v>L-C03</x:v>
      </x:c>
      <x:c r="L11" s="10" t="str">
        <x:v>Known source for calibration; not automatically included</x:v>
      </x:c>
      <x:c r="M11" s="10" t="str">
        <x:v>Munir MM; Dillhoff M; Tsai S; Collins C; Dedhia P; Pawlik TM</x:v>
      </x:c>
      <x:c r="N11" s="17" t="n">
        <x:v>2024</x:v>
      </x:c>
      <x:c r="O11" s="10" t="str">
        <x:v>JAMA surgery</x:v>
      </x:c>
      <x:c r="P11" s="10" t="str">
        <x:v>10.1001/jamasurg.2024.2298</x:v>
      </x:c>
      <x:c r="Q11" s="10" t="str">
        <x:v>https://pubmed.ncbi.nlm.nih.gov/39046733/</x:v>
      </x:c>
      <x:c r="R11" s="10" t="str">
        <x:v>Abstracts row 11</x:v>
      </x:c>
    </x:row>
    <x:row r="12" ht="57" customHeight="1">
      <x:c r="A12" s="4" t="str">
        <x:v>39978776</x:v>
      </x:c>
      <x:c r="B12" s="4" t="str">
        <x:v>Price and Prejudice: Reimbursement of Surgical Care on Male Versus Female Anatomies.</x:v>
      </x:c>
      <x:c r="C12" s="4" t="str">
        <x:f>IF(OR(D12="",E12="",F12="",G12=""),"Awaiting two reviews",IF(D12=F12,"Check reviewer names",IF(OR(E12&lt;&gt;G12,E12="Unclear"),IF(OR(H12="",H12="Unclear"),"Resolve disagreement",IF(AND(H12="Exclude",I12=""),"Add exclusion reason","Adjudicated")),IF(AND(E12="Exclude",I12=""),"Add exclusion reason","Concordant"))))</x:f>
        <x:v>Awaiting two reviews</x:v>
      </x:c>
      <x:c r="D12" s="15" t="str"/>
      <x:c r="E12" s="15" t="str"/>
      <x:c r="F12" s="15" t="str"/>
      <x:c r="G12" s="15" t="str"/>
      <x:c r="H12" s="15" t="str"/>
      <x:c r="I12" s="15" t="str"/>
      <x:c r="J12" s="18" t="str"/>
      <x:c r="K12" s="4" t="str">
        <x:v>L-P01</x:v>
      </x:c>
      <x:c r="L12" s="4" t="str">
        <x:v>Known source for calibration; not automatically included</x:v>
      </x:c>
      <x:c r="M12" s="4" t="str">
        <x:v>Penn M; Colley D; Koirala P; King L; Fitzgerald J</x:v>
      </x:c>
      <x:c r="N12" s="16" t="n">
        <x:v>2025</x:v>
      </x:c>
      <x:c r="O12" s="4" t="str">
        <x:v>Journal of women's health (2002)</x:v>
      </x:c>
      <x:c r="P12" s="4" t="str">
        <x:v>10.1089/jwh.2024.0984</x:v>
      </x:c>
      <x:c r="Q12" s="4" t="str">
        <x:v>https://pubmed.ncbi.nlm.nih.gov/39978776/</x:v>
      </x:c>
      <x:c r="R12" s="4" t="str">
        <x:v>Abstracts row 12</x:v>
      </x:c>
    </x:row>
    <x:row r="13" ht="57" customHeight="1">
      <x:c r="A13" s="10" t="str">
        <x:v>40560583</x:v>
      </x:c>
      <x:c r="B13" s="10" t="str">
        <x:v>Coverage Gaps and Contraceptive Use Among Medicare Enrollees With Disabilities.</x:v>
      </x:c>
      <x:c r="C13" s="10" t="str">
        <x:f>IF(OR(D13="",E13="",F13="",G13=""),"Awaiting two reviews",IF(D13=F13,"Check reviewer names",IF(OR(E13&lt;&gt;G13,E13="Unclear"),IF(OR(H13="",H13="Unclear"),"Resolve disagreement",IF(AND(H13="Exclude",I13=""),"Add exclusion reason","Adjudicated")),IF(AND(E13="Exclude",I13=""),"Add exclusion reason","Concordant"))))</x:f>
        <x:v>Awaiting two reviews</x:v>
      </x:c>
      <x:c r="D13" s="15" t="str"/>
      <x:c r="E13" s="15" t="str"/>
      <x:c r="F13" s="15" t="str"/>
      <x:c r="G13" s="15" t="str"/>
      <x:c r="H13" s="15" t="str"/>
      <x:c r="I13" s="15" t="str"/>
      <x:c r="J13" s="18" t="str"/>
      <x:c r="K13" s="10" t="str">
        <x:v>L-G09</x:v>
      </x:c>
      <x:c r="L13" s="10" t="str">
        <x:v>Known source for calibration; not automatically included</x:v>
      </x:c>
      <x:c r="M13" s="10" t="str">
        <x:v>Bellerose M; Ellison J; Steenland MW; Meyers DJ; Mitra M; Shireman TI</x:v>
      </x:c>
      <x:c r="N13" s="17" t="n">
        <x:v>2025</x:v>
      </x:c>
      <x:c r="O13" s="10" t="str">
        <x:v>JAMA network open</x:v>
      </x:c>
      <x:c r="P13" s="10" t="str">
        <x:v>10.1001/jamanetworkopen.2025.17718</x:v>
      </x:c>
      <x:c r="Q13" s="10" t="str">
        <x:v>https://pubmed.ncbi.nlm.nih.gov/40560583/</x:v>
      </x:c>
      <x:c r="R13" s="10" t="str">
        <x:v>Abstracts row 13</x:v>
      </x:c>
    </x:row>
    <x:row r="14" ht="57" customHeight="1">
      <x:c r="A14" s="4" t="str">
        <x:v>24641912</x:v>
      </x:c>
      <x:c r="B14" s="4" t="str">
        <x:v>Relative value of race, family history and prostate specific antigen as indications for early initiation of prostate cancer screening.</x:v>
      </x:c>
      <x:c r="C14" s="4" t="str">
        <x:f>IF(OR(D14="",E14="",F14="",G14=""),"Awaiting two reviews",IF(D14=F14,"Check reviewer names",IF(OR(E14&lt;&gt;G14,E14="Unclear"),IF(OR(H14="",H14="Unclear"),"Resolve disagreement",IF(AND(H14="Exclude",I14=""),"Add exclusion reason","Adjudicated")),IF(AND(E14="Exclude",I14=""),"Add exclusion reason","Concordant"))))</x:f>
        <x:v>Awaiting two reviews</x:v>
      </x:c>
      <x:c r="D14" s="15" t="str"/>
      <x:c r="E14" s="15" t="str"/>
      <x:c r="F14" s="15" t="str"/>
      <x:c r="G14" s="15" t="str"/>
      <x:c r="H14" s="15" t="str"/>
      <x:c r="I14" s="15" t="str"/>
      <x:c r="J14" s="18" t="str"/>
      <x:c r="K14" s="4" t="str"/>
      <x:c r="L14" s="4" t="str">
        <x:v>Service valuation title terms; manual classification pending</x:v>
      </x:c>
      <x:c r="M14" s="4" t="str">
        <x:v>Vertosick EA; Poon BY; Vickers AJ</x:v>
      </x:c>
      <x:c r="N14" s="16" t="n">
        <x:v>2014</x:v>
      </x:c>
      <x:c r="O14" s="4" t="str">
        <x:v>The Journal of urology</x:v>
      </x:c>
      <x:c r="P14" s="4" t="str">
        <x:v>10.1016/j.juro.2014.03.032</x:v>
      </x:c>
      <x:c r="Q14" s="4" t="str">
        <x:v>https://pubmed.ncbi.nlm.nih.gov/24641912/</x:v>
      </x:c>
      <x:c r="R14" s="4" t="str">
        <x:v>Abstracts row 14</x:v>
      </x:c>
    </x:row>
    <x:row r="15" ht="57" customHeight="1">
      <x:c r="A15" s="10" t="str">
        <x:v>32890040</x:v>
      </x:c>
      <x:c r="B15" s="10" t="str">
        <x:v>Relative value units in health care: Friend, foe, or necessary evil?</x:v>
      </x:c>
      <x:c r="C15" s="10" t="str">
        <x:f>IF(OR(D15="",E15="",F15="",G15=""),"Awaiting two reviews",IF(D15=F15,"Check reviewer names",IF(OR(E15&lt;&gt;G15,E15="Unclear"),IF(OR(H15="",H15="Unclear"),"Resolve disagreement",IF(AND(H15="Exclude",I15=""),"Add exclusion reason","Adjudicated")),IF(AND(E15="Exclude",I15=""),"Add exclusion reason","Concordant"))))</x:f>
        <x:v>Awaiting two reviews</x:v>
      </x:c>
      <x:c r="D15" s="15" t="str"/>
      <x:c r="E15" s="15" t="str"/>
      <x:c r="F15" s="15" t="str"/>
      <x:c r="G15" s="15" t="str"/>
      <x:c r="H15" s="15" t="str"/>
      <x:c r="I15" s="15" t="str"/>
      <x:c r="J15" s="18" t="str"/>
      <x:c r="K15" s="10" t="str"/>
      <x:c r="L15" s="10" t="str">
        <x:v>Service valuation title terms; manual classification pending</x:v>
      </x:c>
      <x:c r="M15" s="10" t="str">
        <x:v>Sheppard KG; Duncan CG</x:v>
      </x:c>
      <x:c r="N15" s="17" t="n">
        <x:v>2020</x:v>
      </x:c>
      <x:c r="O15" s="10" t="str">
        <x:v>Journal of the American Association of Nurse Practitioners</x:v>
      </x:c>
      <x:c r="P15" s="10" t="str">
        <x:v>10.1097/JXX.0000000000000515</x:v>
      </x:c>
      <x:c r="Q15" s="10" t="str">
        <x:v>https://pubmed.ncbi.nlm.nih.gov/32890040/</x:v>
      </x:c>
      <x:c r="R15" s="10" t="str">
        <x:v>Abstracts row 15</x:v>
      </x:c>
    </x:row>
    <x:row r="16" ht="57" customHeight="1">
      <x:c r="A16" s="4" t="str">
        <x:v>8309263</x:v>
      </x:c>
      <x:c r="B16" s="4" t="str">
        <x:v>Relative value of transdermal and oral estrogen therapy in various clinical situations.</x:v>
      </x:c>
      <x:c r="C16" s="4" t="str">
        <x:f>IF(OR(D16="",E16="",F16="",G16=""),"Awaiting two reviews",IF(D16=F16,"Check reviewer names",IF(OR(E16&lt;&gt;G16,E16="Unclear"),IF(OR(H16="",H16="Unclear"),"Resolve disagreement",IF(AND(H16="Exclude",I16=""),"Add exclusion reason","Adjudicated")),IF(AND(E16="Exclude",I16=""),"Add exclusion reason","Concordant"))))</x:f>
        <x:v>Awaiting two reviews</x:v>
      </x:c>
      <x:c r="D16" s="15" t="str"/>
      <x:c r="E16" s="15" t="str"/>
      <x:c r="F16" s="15" t="str"/>
      <x:c r="G16" s="15" t="str"/>
      <x:c r="H16" s="15" t="str"/>
      <x:c r="I16" s="15" t="str"/>
      <x:c r="J16" s="18" t="str"/>
      <x:c r="K16" s="4" t="str"/>
      <x:c r="L16" s="4" t="str">
        <x:v>Service valuation title terms; manual classification pending</x:v>
      </x:c>
      <x:c r="M16" s="4" t="str">
        <x:v>Lufkin EG; Ory SJ</x:v>
      </x:c>
      <x:c r="N16" s="16" t="n">
        <x:v>1994</x:v>
      </x:c>
      <x:c r="O16" s="4" t="str">
        <x:v>Mayo Clinic proceedings</x:v>
      </x:c>
      <x:c r="P16" s="4" t="str">
        <x:v>10.1016/s0025-6196(12)61038-6</x:v>
      </x:c>
      <x:c r="Q16" s="4" t="str">
        <x:v>https://pubmed.ncbi.nlm.nih.gov/8309263/</x:v>
      </x:c>
      <x:c r="R16" s="4" t="str">
        <x:v>Abstracts row 16</x:v>
      </x:c>
    </x:row>
    <x:row r="17" ht="60" customHeight="1">
      <x:c r="A17" s="10" t="str">
        <x:v>9815844</x:v>
      </x:c>
      <x:c r="B17" s="10" t="str">
        <x:v>Relative value of physical examination, mammography, and breast sonography in evaluating the size of the primary tumor and regional lymph node metastases in women receiving neoadjuvant chemotherapy for locally advanced breast carcinoma.</x:v>
      </x:c>
      <x:c r="C17" s="10" t="str">
        <x:f>IF(OR(D17="",E17="",F17="",G17=""),"Awaiting two reviews",IF(D17=F17,"Check reviewer names",IF(OR(E17&lt;&gt;G17,E17="Unclear"),IF(OR(H17="",H17="Unclear"),"Resolve disagreement",IF(AND(H17="Exclude",I17=""),"Add exclusion reason","Adjudicated")),IF(AND(E17="Exclude",I17=""),"Add exclusion reason","Concordant"))))</x:f>
        <x:v>Awaiting two reviews</x:v>
      </x:c>
      <x:c r="D17" s="15" t="str"/>
      <x:c r="E17" s="15" t="str"/>
      <x:c r="F17" s="15" t="str"/>
      <x:c r="G17" s="15" t="str"/>
      <x:c r="H17" s="15" t="str"/>
      <x:c r="I17" s="15" t="str"/>
      <x:c r="J17" s="18" t="str"/>
      <x:c r="K17" s="10" t="str"/>
      <x:c r="L17" s="10" t="str">
        <x:v>Service valuation title terms; manual classification pending</x:v>
      </x:c>
      <x:c r="M17" s="10" t="str">
        <x:v>Herrada J; Iyer RB; Atkinson EN; Sneige N; Buzdar AU; Hortobagyi GN</x:v>
      </x:c>
      <x:c r="N17" s="17" t="n">
        <x:v>1997</x:v>
      </x:c>
      <x:c r="O17" s="10" t="str">
        <x:v>Clinical cancer research : an official journal of the American Association for Cancer Research</x:v>
      </x:c>
      <x:c r="P17" s="10" t="str"/>
      <x:c r="Q17" s="10" t="str">
        <x:v>https://pubmed.ncbi.nlm.nih.gov/9815844/</x:v>
      </x:c>
      <x:c r="R17" s="10" t="str">
        <x:v>Abstracts row 17</x:v>
      </x:c>
    </x:row>
    <x:row r="18" ht="57" customHeight="1">
      <x:c r="A18" s="4" t="str">
        <x:v>8598949</x:v>
      </x:c>
      <x:c r="B18" s="4" t="str">
        <x:v>Underreimbursement of obstetric and gynecologic invasive services by the resource-based relative value scale.</x:v>
      </x:c>
      <x:c r="C18" s="4" t="str">
        <x:f>IF(OR(D18="",E18="",F18="",G18=""),"Awaiting two reviews",IF(D18=F18,"Check reviewer names",IF(OR(E18&lt;&gt;G18,E18="Unclear"),IF(OR(H18="",H18="Unclear"),"Resolve disagreement",IF(AND(H18="Exclude",I18=""),"Add exclusion reason","Adjudicated")),IF(AND(E18="Exclude",I18=""),"Add exclusion reason","Concordant"))))</x:f>
        <x:v>Awaiting two reviews</x:v>
      </x:c>
      <x:c r="D18" s="15" t="str"/>
      <x:c r="E18" s="15" t="str"/>
      <x:c r="F18" s="15" t="str"/>
      <x:c r="G18" s="15" t="str"/>
      <x:c r="H18" s="15" t="str"/>
      <x:c r="I18" s="15" t="str"/>
      <x:c r="J18" s="18" t="str"/>
      <x:c r="K18" s="4" t="str"/>
      <x:c r="L18" s="4" t="str">
        <x:v>Service valuation title terms; manual classification pending</x:v>
      </x:c>
      <x:c r="M18" s="4" t="str">
        <x:v>Cherouny P; Nadolski C</x:v>
      </x:c>
      <x:c r="N18" s="16" t="n">
        <x:v>1996</x:v>
      </x:c>
      <x:c r="O18" s="4" t="str">
        <x:v>Obstetrics and gynecology</x:v>
      </x:c>
      <x:c r="P18" s="4" t="str">
        <x:v>10.1016/0029-7844(95)00442-4</x:v>
      </x:c>
      <x:c r="Q18" s="4" t="str">
        <x:v>https://pubmed.ncbi.nlm.nih.gov/8598949/</x:v>
      </x:c>
      <x:c r="R18" s="4" t="str">
        <x:v>Abstracts row 18</x:v>
      </x:c>
    </x:row>
    <x:row r="19" ht="57" customHeight="1">
      <x:c r="A19" s="10" t="str">
        <x:v>33375989</x:v>
      </x:c>
      <x:c r="B19" s="10" t="str">
        <x:v>Total and out-of-pocket costs for PARP inhibitors among insured ovarian cancer patients.</x:v>
      </x:c>
      <x:c r="C19" s="10" t="str">
        <x:f>IF(OR(D19="",E19="",F19="",G19=""),"Awaiting two reviews",IF(D19=F19,"Check reviewer names",IF(OR(E19&lt;&gt;G19,E19="Unclear"),IF(OR(H19="",H19="Unclear"),"Resolve disagreement",IF(AND(H19="Exclude",I19=""),"Add exclusion reason","Adjudicated")),IF(AND(E19="Exclude",I19=""),"Add exclusion reason","Concordant"))))</x:f>
        <x:v>Awaiting two reviews</x:v>
      </x:c>
      <x:c r="D19" s="15" t="str"/>
      <x:c r="E19" s="15" t="str"/>
      <x:c r="F19" s="15" t="str"/>
      <x:c r="G19" s="15" t="str"/>
      <x:c r="H19" s="15" t="str"/>
      <x:c r="I19" s="15" t="str"/>
      <x:c r="J19" s="18" t="str"/>
      <x:c r="K19" s="10" t="str"/>
      <x:c r="L19" s="10" t="str">
        <x:v>Medication affordability title terms; manual classification pending</x:v>
      </x:c>
      <x:c r="M19" s="10" t="str">
        <x:v>Liang MI; Chen L; Hershman DL; Hillyer GC; Huh WK; Guyton A; Wright JD</x:v>
      </x:c>
      <x:c r="N19" s="17" t="n">
        <x:v>2021</x:v>
      </x:c>
      <x:c r="O19" s="10" t="str">
        <x:v>Gynecologic oncology</x:v>
      </x:c>
      <x:c r="P19" s="10" t="str">
        <x:v>10.1016/j.ygyno.2020.12.015</x:v>
      </x:c>
      <x:c r="Q19" s="10" t="str">
        <x:v>https://pubmed.ncbi.nlm.nih.gov/33375989/</x:v>
      </x:c>
      <x:c r="R19" s="10" t="str">
        <x:v>Abstracts row 19</x:v>
      </x:c>
    </x:row>
    <x:row r="20" ht="57" customHeight="1">
      <x:c r="A20" s="4" t="str">
        <x:v>32473266</x:v>
      </x:c>
      <x:c r="B20" s="4" t="str">
        <x:v>Effects of the Affordable Care Act's enhancement of Medicare benefits on preventive services utilization among older adults in the U.S.</x:v>
      </x:c>
      <x:c r="C20" s="4" t="str">
        <x:f>IF(OR(D20="",E20="",F20="",G20=""),"Awaiting two reviews",IF(D20=F20,"Check reviewer names",IF(OR(E20&lt;&gt;G20,E20="Unclear"),IF(OR(H20="",H20="Unclear"),"Resolve disagreement",IF(AND(H20="Exclude",I20=""),"Add exclusion reason","Adjudicated")),IF(AND(E20="Exclude",I20=""),"Add exclusion reason","Concordant"))))</x:f>
        <x:v>Awaiting two reviews</x:v>
      </x:c>
      <x:c r="D20" s="15" t="str"/>
      <x:c r="E20" s="15" t="str"/>
      <x:c r="F20" s="15" t="str"/>
      <x:c r="G20" s="15" t="str"/>
      <x:c r="H20" s="15" t="str"/>
      <x:c r="I20" s="15" t="str"/>
      <x:c r="J20" s="18" t="str"/>
      <x:c r="K20" s="4" t="str"/>
      <x:c r="L20" s="4" t="str">
        <x:v>Medication affordability title terms; manual classification pending</x:v>
      </x:c>
      <x:c r="M20" s="4" t="str">
        <x:v>Toseef MU; Jensen GA; Tarraf W</x:v>
      </x:c>
      <x:c r="N20" s="16" t="n">
        <x:v>2020</x:v>
      </x:c>
      <x:c r="O20" s="4" t="str">
        <x:v>Preventive medicine</x:v>
      </x:c>
      <x:c r="P20" s="4" t="str">
        <x:v>10.1016/j.ypmed.2020.106148</x:v>
      </x:c>
      <x:c r="Q20" s="4" t="str">
        <x:v>https://pubmed.ncbi.nlm.nih.gov/32473266/</x:v>
      </x:c>
      <x:c r="R20" s="4" t="str">
        <x:v>Abstracts row 20</x:v>
      </x:c>
    </x:row>
    <x:row r="21" ht="57" customHeight="1">
      <x:c r="A21" s="10" t="str">
        <x:v>37234016</x:v>
      </x:c>
      <x:c r="B21" s="10" t="str">
        <x:v>Comparison of Out-of-Pocket Spending on Ultra-Expensive Drugs in Medicare Part D vs Commercial Insurance.</x:v>
      </x:c>
      <x:c r="C21" s="10" t="str">
        <x:f>IF(OR(D21="",E21="",F21="",G21=""),"Awaiting two reviews",IF(D21=F21,"Check reviewer names",IF(OR(E21&lt;&gt;G21,E21="Unclear"),IF(OR(H21="",H21="Unclear"),"Resolve disagreement",IF(AND(H21="Exclude",I21=""),"Add exclusion reason","Adjudicated")),IF(AND(E21="Exclude",I21=""),"Add exclusion reason","Concordant"))))</x:f>
        <x:v>Awaiting two reviews</x:v>
      </x:c>
      <x:c r="D21" s="15" t="str"/>
      <x:c r="E21" s="15" t="str"/>
      <x:c r="F21" s="15" t="str"/>
      <x:c r="G21" s="15" t="str"/>
      <x:c r="H21" s="15" t="str"/>
      <x:c r="I21" s="15" t="str"/>
      <x:c r="J21" s="18" t="str"/>
      <x:c r="K21" s="10" t="str"/>
      <x:c r="L21" s="10" t="str">
        <x:v>Medication affordability title terms; manual classification pending</x:v>
      </x:c>
      <x:c r="M21" s="10" t="str">
        <x:v>DiStefano MJ; Kang SY; Parasrampuria S; Anderson GF</x:v>
      </x:c>
      <x:c r="N21" s="17" t="n">
        <x:v>2023</x:v>
      </x:c>
      <x:c r="O21" s="10" t="str">
        <x:v>JAMA health forum</x:v>
      </x:c>
      <x:c r="P21" s="10" t="str">
        <x:v>10.1001/jamahealthforum.2023.1090</x:v>
      </x:c>
      <x:c r="Q21" s="10" t="str">
        <x:v>https://pubmed.ncbi.nlm.nih.gov/37234016/</x:v>
      </x:c>
      <x:c r="R21" s="10" t="str">
        <x:v>Abstracts row 21</x:v>
      </x:c>
    </x:row>
    <x:row r="22" ht="57" customHeight="1">
      <x:c r="A22" s="4" t="str">
        <x:v>37145467</x:v>
      </x:c>
      <x:c r="B22" s="4" t="str">
        <x:v>The Association of Medicaid Insurance and Affordable Care Act Expansions with Survival among Patients with Testicular Cancer.</x:v>
      </x:c>
      <x:c r="C22" s="4" t="str">
        <x:f>IF(OR(D22="",E22="",F22="",G22=""),"Awaiting two reviews",IF(D22=F22,"Check reviewer names",IF(OR(E22&lt;&gt;G22,E22="Unclear"),IF(OR(H22="",H22="Unclear"),"Resolve disagreement",IF(AND(H22="Exclude",I22=""),"Add exclusion reason","Adjudicated")),IF(AND(E22="Exclude",I22=""),"Add exclusion reason","Concordant"))))</x:f>
        <x:v>Awaiting two reviews</x:v>
      </x:c>
      <x:c r="D22" s="15" t="str"/>
      <x:c r="E22" s="15" t="str"/>
      <x:c r="F22" s="15" t="str"/>
      <x:c r="G22" s="15" t="str"/>
      <x:c r="H22" s="15" t="str"/>
      <x:c r="I22" s="15" t="str"/>
      <x:c r="J22" s="18" t="str"/>
      <x:c r="K22" s="4" t="str"/>
      <x:c r="L22" s="4" t="str">
        <x:v>Medication affordability title terms; manual classification pending</x:v>
      </x:c>
      <x:c r="M22" s="4" t="str">
        <x:v>Bhambhvani HP; Hampshire K; Eisenberg ML</x:v>
      </x:c>
      <x:c r="N22" s="16" t="n">
        <x:v>2021</x:v>
      </x:c>
      <x:c r="O22" s="4" t="str">
        <x:v>Urology practice</x:v>
      </x:c>
      <x:c r="P22" s="4" t="str">
        <x:v>10.1097/UPJ.0000000000000229</x:v>
      </x:c>
      <x:c r="Q22" s="4" t="str">
        <x:v>https://pubmed.ncbi.nlm.nih.gov/37145467/</x:v>
      </x:c>
      <x:c r="R22" s="4" t="str">
        <x:v>Abstracts row 22</x:v>
      </x:c>
    </x:row>
    <x:row r="23" ht="57" customHeight="1">
      <x:c r="A23" s="10" t="str">
        <x:v>33001201</x:v>
      </x:c>
      <x:c r="B23" s="10" t="str">
        <x:v>Association of Medicaid Expansion Under the Patient Protection and Affordable Care Act With Use of Long-term Care.</x:v>
      </x:c>
      <x:c r="C23" s="10" t="str">
        <x:f>IF(OR(D23="",E23="",F23="",G23=""),"Awaiting two reviews",IF(D23=F23,"Check reviewer names",IF(OR(E23&lt;&gt;G23,E23="Unclear"),IF(OR(H23="",H23="Unclear"),"Resolve disagreement",IF(AND(H23="Exclude",I23=""),"Add exclusion reason","Adjudicated")),IF(AND(E23="Exclude",I23=""),"Add exclusion reason","Concordant"))))</x:f>
        <x:v>Awaiting two reviews</x:v>
      </x:c>
      <x:c r="D23" s="15" t="str"/>
      <x:c r="E23" s="15" t="str"/>
      <x:c r="F23" s="15" t="str"/>
      <x:c r="G23" s="15" t="str"/>
      <x:c r="H23" s="15" t="str"/>
      <x:c r="I23" s="15" t="str"/>
      <x:c r="J23" s="18" t="str"/>
      <x:c r="K23" s="10" t="str"/>
      <x:c r="L23" s="10" t="str">
        <x:v>Medication affordability title terms; manual classification pending</x:v>
      </x:c>
      <x:c r="M23" s="10" t="str">
        <x:v>Van Houtven CH; McGarry BE; Jutkowitz E; Grabowski DC</x:v>
      </x:c>
      <x:c r="N23" s="17" t="n">
        <x:v>2020</x:v>
      </x:c>
      <x:c r="O23" s="10" t="str">
        <x:v>JAMA network open</x:v>
      </x:c>
      <x:c r="P23" s="10" t="str">
        <x:v>10.1001/jamanetworkopen.2020.18728</x:v>
      </x:c>
      <x:c r="Q23" s="10" t="str">
        <x:v>https://pubmed.ncbi.nlm.nih.gov/33001201/</x:v>
      </x:c>
      <x:c r="R23" s="10" t="str">
        <x:v>Abstracts row 23</x:v>
      </x:c>
    </x:row>
    <x:row r="24" ht="57" customHeight="1">
      <x:c r="A24" s="4" t="str">
        <x:v>18422950</x:v>
      </x:c>
      <x:c r="B24" s="4" t="str">
        <x:v>Discharge setting for patients with hip fracture: trends from 2001 to 2005.</x:v>
      </x:c>
      <x:c r="C24" s="4" t="str">
        <x:f>IF(OR(D24="",E24="",F24="",G24=""),"Awaiting two reviews",IF(D24=F24,"Check reviewer names",IF(OR(E24&lt;&gt;G24,E24="Unclear"),IF(OR(H24="",H24="Unclear"),"Resolve disagreement",IF(AND(H24="Exclude",I24=""),"Add exclusion reason","Adjudicated")),IF(AND(E24="Exclude",I24=""),"Add exclusion reason","Concordant"))))</x:f>
        <x:v>Awaiting two reviews</x:v>
      </x:c>
      <x:c r="D24" s="15" t="str"/>
      <x:c r="E24" s="15" t="str"/>
      <x:c r="F24" s="15" t="str"/>
      <x:c r="G24" s="15" t="str"/>
      <x:c r="H24" s="15" t="str"/>
      <x:c r="I24" s="15" t="str"/>
      <x:c r="J24" s="18" t="str"/>
      <x:c r="K24" s="4" t="str"/>
      <x:c r="L24" s="4" t="str">
        <x:v>Bone and fracture title terms; manual classification pending</x:v>
      </x:c>
      <x:c r="M24" s="4" t="str">
        <x:v>Nguyen-Oghalai TU; Kuo YF; Zhang DD; Graham JE; Goodwin JS; Ottenbacher KJ</x:v>
      </x:c>
      <x:c r="N24" s="16" t="n">
        <x:v>2008</x:v>
      </x:c>
      <x:c r="O24" s="4" t="str">
        <x:v>Journal of the American Geriatrics Society</x:v>
      </x:c>
      <x:c r="P24" s="4" t="str">
        <x:v>10.1111/j.1532-5415.2008.01688.x</x:v>
      </x:c>
      <x:c r="Q24" s="4" t="str">
        <x:v>https://pubmed.ncbi.nlm.nih.gov/18422950/</x:v>
      </x:c>
      <x:c r="R24" s="4" t="str">
        <x:v>Abstracts row 24</x:v>
      </x:c>
    </x:row>
    <x:row r="25" ht="57" customHeight="1">
      <x:c r="A25" s="10" t="str">
        <x:v>23660182</x:v>
      </x:c>
      <x:c r="B25" s="10" t="str">
        <x:v>Temporal trends in the incidence, treatment, and outcomes of hip fracture in older patients initiating dialysis in the United States.</x:v>
      </x:c>
      <x:c r="C25" s="10" t="str">
        <x:f>IF(OR(D25="",E25="",F25="",G25=""),"Awaiting two reviews",IF(D25=F25,"Check reviewer names",IF(OR(E25&lt;&gt;G25,E25="Unclear"),IF(OR(H25="",H25="Unclear"),"Resolve disagreement",IF(AND(H25="Exclude",I25=""),"Add exclusion reason","Adjudicated")),IF(AND(E25="Exclude",I25=""),"Add exclusion reason","Concordant"))))</x:f>
        <x:v>Awaiting two reviews</x:v>
      </x:c>
      <x:c r="D25" s="15" t="str"/>
      <x:c r="E25" s="15" t="str"/>
      <x:c r="F25" s="15" t="str"/>
      <x:c r="G25" s="15" t="str"/>
      <x:c r="H25" s="15" t="str"/>
      <x:c r="I25" s="15" t="str"/>
      <x:c r="J25" s="18" t="str"/>
      <x:c r="K25" s="10" t="str"/>
      <x:c r="L25" s="10" t="str">
        <x:v>Bone and fracture title terms; manual classification pending</x:v>
      </x:c>
      <x:c r="M25" s="10" t="str">
        <x:v>Nair SS; Mitani AA; Goldstein BA; Chertow GM; Lowenberg DW; Winkelmayer WC</x:v>
      </x:c>
      <x:c r="N25" s="17" t="n">
        <x:v>2013</x:v>
      </x:c>
      <x:c r="O25" s="10" t="str">
        <x:v>Clinical journal of the American Society of Nephrology : CJASN</x:v>
      </x:c>
      <x:c r="P25" s="10" t="str">
        <x:v>10.2215/CJN.10901012</x:v>
      </x:c>
      <x:c r="Q25" s="10" t="str">
        <x:v>https://pubmed.ncbi.nlm.nih.gov/23660182/</x:v>
      </x:c>
      <x:c r="R25" s="10" t="str">
        <x:v>Abstracts row 25</x:v>
      </x:c>
    </x:row>
    <x:row r="26" ht="57" customHeight="1">
      <x:c r="A26" s="4" t="str">
        <x:v>24458966</x:v>
      </x:c>
      <x:c r="B26" s="4" t="str">
        <x:v>Determinants of postsurgical discharge setting for male hip fracture patients.</x:v>
      </x:c>
      <x:c r="C26" s="4" t="str">
        <x:f>IF(OR(D26="",E26="",F26="",G26=""),"Awaiting two reviews",IF(D26=F26,"Check reviewer names",IF(OR(E26&lt;&gt;G26,E26="Unclear"),IF(OR(H26="",H26="Unclear"),"Resolve disagreement",IF(AND(H26="Exclude",I26=""),"Add exclusion reason","Adjudicated")),IF(AND(E26="Exclude",I26=""),"Add exclusion reason","Concordant"))))</x:f>
        <x:v>Awaiting two reviews</x:v>
      </x:c>
      <x:c r="D26" s="15" t="str"/>
      <x:c r="E26" s="15" t="str"/>
      <x:c r="F26" s="15" t="str"/>
      <x:c r="G26" s="15" t="str"/>
      <x:c r="H26" s="15" t="str"/>
      <x:c r="I26" s="15" t="str"/>
      <x:c r="J26" s="18" t="str"/>
      <x:c r="K26" s="4" t="str"/>
      <x:c r="L26" s="4" t="str">
        <x:v>Bone and fracture title terms; manual classification pending</x:v>
      </x:c>
      <x:c r="M26" s="4" t="str">
        <x:v>Maciejewski ML; Radcliff TA; Henderson WG; Cowper Ripley D; Vogel WB; Regan E; Hutt E</x:v>
      </x:c>
      <x:c r="N26" s="16" t="n">
        <x:v>2013</x:v>
      </x:c>
      <x:c r="O26" s="4" t="str">
        <x:v>Journal of rehabilitation research and development</x:v>
      </x:c>
      <x:c r="P26" s="4" t="str">
        <x:v>10.1682/JRRD.2013.02.0041</x:v>
      </x:c>
      <x:c r="Q26" s="4" t="str">
        <x:v>https://pubmed.ncbi.nlm.nih.gov/24458966/</x:v>
      </x:c>
      <x:c r="R26" s="4" t="str">
        <x:v>Abstracts row 26</x:v>
      </x:c>
    </x:row>
    <x:row r="27" ht="57" customHeight="1">
      <x:c r="A27" s="10" t="str">
        <x:v>19345769</x:v>
      </x:c>
      <x:c r="B27" s="10" t="str">
        <x:v>Disparities in utilization of outpatient rehabilitative care following hip fracture hospitalization with respect to race and ethnicity.</x:v>
      </x:c>
      <x:c r="C27" s="10" t="str">
        <x:f>IF(OR(D27="",E27="",F27="",G27=""),"Awaiting two reviews",IF(D27=F27,"Check reviewer names",IF(OR(E27&lt;&gt;G27,E27="Unclear"),IF(OR(H27="",H27="Unclear"),"Resolve disagreement",IF(AND(H27="Exclude",I27=""),"Add exclusion reason","Adjudicated")),IF(AND(E27="Exclude",I27=""),"Add exclusion reason","Concordant"))))</x:f>
        <x:v>Awaiting two reviews</x:v>
      </x:c>
      <x:c r="D27" s="15" t="str"/>
      <x:c r="E27" s="15" t="str"/>
      <x:c r="F27" s="15" t="str"/>
      <x:c r="G27" s="15" t="str"/>
      <x:c r="H27" s="15" t="str"/>
      <x:c r="I27" s="15" t="str"/>
      <x:c r="J27" s="18" t="str"/>
      <x:c r="K27" s="10" t="str"/>
      <x:c r="L27" s="10" t="str">
        <x:v>Bone and fracture title terms; manual classification pending</x:v>
      </x:c>
      <x:c r="M27" s="10" t="str">
        <x:v>Nguyen-Oghalai TU; Ottenbacher KJ; Kuo YF; Wu H; Grecula M; Eschbach K; Goodwin JS</x:v>
      </x:c>
      <x:c r="N27" s="17" t="n">
        <x:v>2009</x:v>
      </x:c>
      <x:c r="O27" s="10" t="str">
        <x:v>Archives of physical medicine and rehabilitation</x:v>
      </x:c>
      <x:c r="P27" s="10" t="str">
        <x:v>10.1016/j.apmr.2008.10.021</x:v>
      </x:c>
      <x:c r="Q27" s="10" t="str">
        <x:v>https://pubmed.ncbi.nlm.nih.gov/19345769/</x:v>
      </x:c>
      <x:c r="R27" s="10" t="str">
        <x:v>Abstracts row 27</x:v>
      </x:c>
    </x:row>
    <x:row r="28" ht="57" customHeight="1">
      <x:c r="A28" s="4" t="str">
        <x:v>39303221</x:v>
      </x:c>
      <x:c r="B28" s="4" t="str">
        <x:v>Disparities in Dual-energy X-ray Absorptiometry Scan Utilization Across Race/Ethnic Groups Before and After Hip Fractures.</x:v>
      </x:c>
      <x:c r="C28" s="4" t="str">
        <x:f>IF(OR(D28="",E28="",F28="",G28=""),"Awaiting two reviews",IF(D28=F28,"Check reviewer names",IF(OR(E28&lt;&gt;G28,E28="Unclear"),IF(OR(H28="",H28="Unclear"),"Resolve disagreement",IF(AND(H28="Exclude",I28=""),"Add exclusion reason","Adjudicated")),IF(AND(E28="Exclude",I28=""),"Add exclusion reason","Concordant"))))</x:f>
        <x:v>Awaiting two reviews</x:v>
      </x:c>
      <x:c r="D28" s="15" t="str"/>
      <x:c r="E28" s="15" t="str"/>
      <x:c r="F28" s="15" t="str"/>
      <x:c r="G28" s="15" t="str"/>
      <x:c r="H28" s="15" t="str"/>
      <x:c r="I28" s="15" t="str"/>
      <x:c r="J28" s="18" t="str"/>
      <x:c r="K28" s="4" t="str"/>
      <x:c r="L28" s="4" t="str">
        <x:v>Bone and fracture title terms; manual classification pending</x:v>
      </x:c>
      <x:c r="M28" s="4" t="str">
        <x:v>Rudisill KE; Ratnasamy PP; Sanchez JG; Grauer JN</x:v>
      </x:c>
      <x:c r="N28" s="16" t="n">
        <x:v>2024</x:v>
      </x:c>
      <x:c r="O28" s="4" t="str">
        <x:v>Journal of the American Academy of Orthopaedic Surgeons. Global research &amp; reviews</x:v>
      </x:c>
      <x:c r="P28" s="4" t="str">
        <x:v>10.5435/JAAOSGlobal-D-24-00052</x:v>
      </x:c>
      <x:c r="Q28" s="4" t="str">
        <x:v>https://pubmed.ncbi.nlm.nih.gov/39303221/</x:v>
      </x:c>
      <x:c r="R28" s="4" t="str">
        <x:v>Abstracts row 28</x:v>
      </x:c>
    </x:row>
    <x:row r="29" ht="57" customHeight="1">
      <x:c r="A29" s="10" t="str">
        <x:v>36282933</x:v>
      </x:c>
      <x:c r="B29" s="10" t="str">
        <x:v>Is adding ribociclib to fulvestrant cost-effective in treating postmenopausal women with HR+/HER2- advanced or metastatic breast cancer? A US payer perspective cost utility analysis.</x:v>
      </x:c>
      <x:c r="C29" s="10" t="str">
        <x:f>IF(OR(D29="",E29="",F29="",G29=""),"Awaiting two reviews",IF(D29=F29,"Check reviewer names",IF(OR(E29&lt;&gt;G29,E29="Unclear"),IF(OR(H29="",H29="Unclear"),"Resolve disagreement",IF(AND(H29="Exclude",I29=""),"Add exclusion reason","Adjudicated")),IF(AND(E29="Exclude",I29=""),"Add exclusion reason","Concordant"))))</x:f>
        <x:v>Awaiting two reviews</x:v>
      </x:c>
      <x:c r="D29" s="15" t="str"/>
      <x:c r="E29" s="15" t="str"/>
      <x:c r="F29" s="15" t="str"/>
      <x:c r="G29" s="15" t="str"/>
      <x:c r="H29" s="15" t="str"/>
      <x:c r="I29" s="15" t="str"/>
      <x:c r="J29" s="18" t="str"/>
      <x:c r="K29" s="10" t="str"/>
      <x:c r="L29" s="10" t="str">
        <x:v>Reproductive and sexual care title terms; manual classification pending</x:v>
      </x:c>
      <x:c r="M29" s="10" t="str">
        <x:v>Berrios K; Burum A; Jeong E; Zhong L</x:v>
      </x:c>
      <x:c r="N29" s="17" t="n">
        <x:v>2022</x:v>
      </x:c>
      <x:c r="O29" s="10" t="str">
        <x:v>Journal of managed care &amp; specialty pharmacy</x:v>
      </x:c>
      <x:c r="P29" s="10" t="str">
        <x:v>10.18553/jmcp.2022.28.11.1282</x:v>
      </x:c>
      <x:c r="Q29" s="10" t="str">
        <x:v>https://pubmed.ncbi.nlm.nih.gov/36282933/</x:v>
      </x:c>
      <x:c r="R29" s="10" t="str">
        <x:v>Abstracts row 29</x:v>
      </x:c>
    </x:row>
    <x:row r="30" ht="57" customHeight="1">
      <x:c r="A30" s="4" t="str">
        <x:v>38810963</x:v>
      </x:c>
      <x:c r="B30" s="4" t="str">
        <x:v>Influence of Pregnancy Intention on Postpartum Contraceptive Choice at an Urban Academic Medical Center.</x:v>
      </x:c>
      <x:c r="C30" s="4" t="str">
        <x:f>IF(OR(D30="",E30="",F30="",G30=""),"Awaiting two reviews",IF(D30=F30,"Check reviewer names",IF(OR(E30&lt;&gt;G30,E30="Unclear"),IF(OR(H30="",H30="Unclear"),"Resolve disagreement",IF(AND(H30="Exclude",I30=""),"Add exclusion reason","Adjudicated")),IF(AND(E30="Exclude",I30=""),"Add exclusion reason","Concordant"))))</x:f>
        <x:v>Awaiting two reviews</x:v>
      </x:c>
      <x:c r="D30" s="15" t="str"/>
      <x:c r="E30" s="15" t="str"/>
      <x:c r="F30" s="15" t="str"/>
      <x:c r="G30" s="15" t="str"/>
      <x:c r="H30" s="15" t="str"/>
      <x:c r="I30" s="15" t="str"/>
      <x:c r="J30" s="18" t="str"/>
      <x:c r="K30" s="4" t="str"/>
      <x:c r="L30" s="4" t="str">
        <x:v>Reproductive and sexual care title terms; manual classification pending</x:v>
      </x:c>
      <x:c r="M30" s="4" t="str">
        <x:v>St John M; Sullivan K; DeFranco EA; Kelly E</x:v>
      </x:c>
      <x:c r="N30" s="16" t="n">
        <x:v>2025</x:v>
      </x:c>
      <x:c r="O30" s="4" t="str">
        <x:v>American journal of perinatology</x:v>
      </x:c>
      <x:c r="P30" s="4" t="str">
        <x:v>10.1055/a-2335-2951</x:v>
      </x:c>
      <x:c r="Q30" s="4" t="str">
        <x:v>https://pubmed.ncbi.nlm.nih.gov/38810963/</x:v>
      </x:c>
      <x:c r="R30" s="4" t="str">
        <x:v>Abstracts row 30</x:v>
      </x:c>
    </x:row>
    <x:row r="31" ht="57" customHeight="1">
      <x:c r="A31" s="10" t="str">
        <x:v>27061765</x:v>
      </x:c>
      <x:c r="B31" s="10" t="str">
        <x:v>Androgen Therapy and Rehospitalization in Older Men With Testosterone Deficiency.</x:v>
      </x:c>
      <x:c r="C31" s="10" t="str">
        <x:f>IF(OR(D31="",E31="",F31="",G31=""),"Awaiting two reviews",IF(D31=F31,"Check reviewer names",IF(OR(E31&lt;&gt;G31,E31="Unclear"),IF(OR(H31="",H31="Unclear"),"Resolve disagreement",IF(AND(H31="Exclude",I31=""),"Add exclusion reason","Adjudicated")),IF(AND(E31="Exclude",I31=""),"Add exclusion reason","Concordant"))))</x:f>
        <x:v>Awaiting two reviews</x:v>
      </x:c>
      <x:c r="D31" s="15" t="str"/>
      <x:c r="E31" s="15" t="str"/>
      <x:c r="F31" s="15" t="str"/>
      <x:c r="G31" s="15" t="str"/>
      <x:c r="H31" s="15" t="str"/>
      <x:c r="I31" s="15" t="str"/>
      <x:c r="J31" s="18" t="str"/>
      <x:c r="K31" s="10" t="str"/>
      <x:c r="L31" s="10" t="str">
        <x:v>Reproductive and sexual care title terms; manual classification pending</x:v>
      </x:c>
      <x:c r="M31" s="10" t="str">
        <x:v>Baillargeon J; Deer RR; Kuo YF; Zhang D; Goodwin JS; Volpi E</x:v>
      </x:c>
      <x:c r="N31" s="17" t="n">
        <x:v>2016</x:v>
      </x:c>
      <x:c r="O31" s="10" t="str">
        <x:v>Mayo Clinic proceedings</x:v>
      </x:c>
      <x:c r="P31" s="10" t="str">
        <x:v>10.1016/j.mayocp.2016.03.016</x:v>
      </x:c>
      <x:c r="Q31" s="10" t="str">
        <x:v>https://pubmed.ncbi.nlm.nih.gov/27061765/</x:v>
      </x:c>
      <x:c r="R31" s="10" t="str">
        <x:v>Abstracts row 31</x:v>
      </x:c>
    </x:row>
    <x:row r="32" ht="60" customHeight="1">
      <x:c r="A32" s="4" t="str">
        <x:v>33156064</x:v>
      </x:c>
      <x:c r="B32" s="4" t="str">
        <x:v>Association of Premature Menopause With Risk of Abdominal Aortic Aneurysm in the Women's Health Initiative.</x:v>
      </x:c>
      <x:c r="C32" s="4" t="str">
        <x:f>IF(OR(D32="",E32="",F32="",G32=""),"Awaiting two reviews",IF(D32=F32,"Check reviewer names",IF(OR(E32&lt;&gt;G32,E32="Unclear"),IF(OR(H32="",H32="Unclear"),"Resolve disagreement",IF(AND(H32="Exclude",I32=""),"Add exclusion reason","Adjudicated")),IF(AND(E32="Exclude",I32=""),"Add exclusion reason","Concordant"))))</x:f>
        <x:v>Awaiting two reviews</x:v>
      </x:c>
      <x:c r="D32" s="15" t="str"/>
      <x:c r="E32" s="15" t="str"/>
      <x:c r="F32" s="15" t="str"/>
      <x:c r="G32" s="15" t="str"/>
      <x:c r="H32" s="15" t="str"/>
      <x:c r="I32" s="15" t="str"/>
      <x:c r="J32" s="18" t="str"/>
      <x:c r="K32" s="4" t="str"/>
      <x:c r="L32" s="4" t="str">
        <x:v>Reproductive and sexual care title terms; manual classification pending</x:v>
      </x:c>
      <x:c r="M32" s="4" t="str">
        <x:v>Chou EL; Pettinger M; Haring B; Allison MA; Mell MW; Hlatky MA; Wactawski-Wende J; Wild RA; Shadyab AH; Wallace RB; Snetselaar LG; Madsen TE; Eagleton MJ; Conrad MF; Liu S</x:v>
      </x:c>
      <x:c r="N32" s="16" t="n">
        <x:v>2022</x:v>
      </x:c>
      <x:c r="O32" s="4" t="str">
        <x:v>Annals of surgery</x:v>
      </x:c>
      <x:c r="P32" s="4" t="str">
        <x:v>10.1097/SLA.0000000000004581</x:v>
      </x:c>
      <x:c r="Q32" s="4" t="str">
        <x:v>https://pubmed.ncbi.nlm.nih.gov/33156064/</x:v>
      </x:c>
      <x:c r="R32" s="4" t="str">
        <x:v>Abstracts row 32</x:v>
      </x:c>
    </x:row>
    <x:row r="33" ht="57" customHeight="1">
      <x:c r="A33" s="10" t="str">
        <x:v>24443943</x:v>
      </x:c>
      <x:c r="B33" s="10" t="str">
        <x:v>Testosterone replacement therapy following the diagnosis of prostate cancer: outcomes and utilization trends.</x:v>
      </x:c>
      <x:c r="C33" s="10" t="str">
        <x:f>IF(OR(D33="",E33="",F33="",G33=""),"Awaiting two reviews",IF(D33=F33,"Check reviewer names",IF(OR(E33&lt;&gt;G33,E33="Unclear"),IF(OR(H33="",H33="Unclear"),"Resolve disagreement",IF(AND(H33="Exclude",I33=""),"Add exclusion reason","Adjudicated")),IF(AND(E33="Exclude",I33=""),"Add exclusion reason","Concordant"))))</x:f>
        <x:v>Awaiting two reviews</x:v>
      </x:c>
      <x:c r="D33" s="15" t="str"/>
      <x:c r="E33" s="15" t="str"/>
      <x:c r="F33" s="15" t="str"/>
      <x:c r="G33" s="15" t="str"/>
      <x:c r="H33" s="15" t="str"/>
      <x:c r="I33" s="15" t="str"/>
      <x:c r="J33" s="18" t="str"/>
      <x:c r="K33" s="10" t="str"/>
      <x:c r="L33" s="10" t="str">
        <x:v>Reproductive and sexual care title terms; manual classification pending</x:v>
      </x:c>
      <x:c r="M33" s="10" t="str">
        <x:v>Kaplan AL; Trinh QD; Sun M; Carter SC; Nguyen PL; Shih YT; Marks LS; Hu JC</x:v>
      </x:c>
      <x:c r="N33" s="17" t="n">
        <x:v>2014</x:v>
      </x:c>
      <x:c r="O33" s="10" t="str">
        <x:v>The journal of sexual medicine</x:v>
      </x:c>
      <x:c r="P33" s="10" t="str">
        <x:v>10.1111/jsm.12429</x:v>
      </x:c>
      <x:c r="Q33" s="10" t="str">
        <x:v>https://pubmed.ncbi.nlm.nih.gov/24443943/</x:v>
      </x:c>
      <x:c r="R33" s="10" t="str">
        <x:v>Abstracts row 33</x:v>
      </x:c>
    </x:row>
    <x:row r="34" ht="57" customHeight="1">
      <x:c r="A34" s="4" t="str">
        <x:v>34937038</x:v>
      </x:c>
      <x:c r="B34" s="4" t="str">
        <x:v>Optimal Measures for Primary Care Physician Encounters after Stroke and Association with Survival: A Data Linkage Study.</x:v>
      </x:c>
      <x:c r="C34" s="4" t="str">
        <x:f>IF(OR(D34="",E34="",F34="",G34=""),"Awaiting two reviews",IF(D34=F34,"Check reviewer names",IF(OR(E34&lt;&gt;G34,E34="Unclear"),IF(OR(H34="",H34="Unclear"),"Resolve disagreement",IF(AND(H34="Exclude",I34=""),"Add exclusion reason","Adjudicated")),IF(AND(E34="Exclude",I34=""),"Add exclusion reason","Concordant"))))</x:f>
        <x:v>Awaiting two reviews</x:v>
      </x:c>
      <x:c r="D34" s="15" t="str"/>
      <x:c r="E34" s="15" t="str"/>
      <x:c r="F34" s="15" t="str"/>
      <x:c r="G34" s="15" t="str"/>
      <x:c r="H34" s="15" t="str"/>
      <x:c r="I34" s="15" t="str"/>
      <x:c r="J34" s="18" t="str"/>
      <x:c r="K34" s="4" t="str"/>
      <x:c r="L34" s="4" t="str">
        <x:v>Cardiovascular care title terms; manual classification pending</x:v>
      </x:c>
      <x:c r="M34" s="4" t="str">
        <x:v>Ung D; Wang Y; Sundararajan V; Lopez D; Kilkenny MF; Cadilhac DA; Thrift AG; Nelson MR; Andrew NE</x:v>
      </x:c>
      <x:c r="N34" s="16" t="n">
        <x:v>2022</x:v>
      </x:c>
      <x:c r="O34" s="4" t="str">
        <x:v>Neuroepidemiology</x:v>
      </x:c>
      <x:c r="P34" s="4" t="str">
        <x:v>10.1159/000520700</x:v>
      </x:c>
      <x:c r="Q34" s="4" t="str">
        <x:v>https://pubmed.ncbi.nlm.nih.gov/34937038/</x:v>
      </x:c>
      <x:c r="R34" s="4" t="str">
        <x:v>Abstracts row 34</x:v>
      </x:c>
    </x:row>
    <x:row r="35" ht="57" customHeight="1">
      <x:c r="A35" s="10" t="str">
        <x:v>29636104</x:v>
      </x:c>
      <x:c r="B35" s="10" t="str">
        <x:v>Antidiabetic treatment patterns and specialty care utilization among patients with type 2 diabetes and cardiovascular disease.</x:v>
      </x:c>
      <x:c r="C35" s="10" t="str">
        <x:f>IF(OR(D35="",E35="",F35="",G35=""),"Awaiting two reviews",IF(D35=F35,"Check reviewer names",IF(OR(E35&lt;&gt;G35,E35="Unclear"),IF(OR(H35="",H35="Unclear"),"Resolve disagreement",IF(AND(H35="Exclude",I35=""),"Add exclusion reason","Adjudicated")),IF(AND(E35="Exclude",I35=""),"Add exclusion reason","Concordant"))))</x:f>
        <x:v>Awaiting two reviews</x:v>
      </x:c>
      <x:c r="D35" s="15" t="str"/>
      <x:c r="E35" s="15" t="str"/>
      <x:c r="F35" s="15" t="str"/>
      <x:c r="G35" s="15" t="str"/>
      <x:c r="H35" s="15" t="str"/>
      <x:c r="I35" s="15" t="str"/>
      <x:c r="J35" s="18" t="str"/>
      <x:c r="K35" s="10" t="str"/>
      <x:c r="L35" s="10" t="str">
        <x:v>Cardiovascular care title terms; manual classification pending</x:v>
      </x:c>
      <x:c r="M35" s="10" t="str">
        <x:v>Pantalone KM; Misra-Hebert AD; Hobbs TM; Ji X; Kong SX; Milinovich A; Weng W; Bauman J; Ganguly R; Burguera B; Kattan MW; Zimmerman RS</x:v>
      </x:c>
      <x:c r="N35" s="17" t="n">
        <x:v>2018</x:v>
      </x:c>
      <x:c r="O35" s="10" t="str">
        <x:v>Cardiovascular diabetology</x:v>
      </x:c>
      <x:c r="P35" s="10" t="str">
        <x:v>10.1186/s12933-018-0699-7</x:v>
      </x:c>
      <x:c r="Q35" s="10" t="str">
        <x:v>https://pubmed.ncbi.nlm.nih.gov/29636104/</x:v>
      </x:c>
      <x:c r="R35" s="10" t="str">
        <x:v>Abstracts row 35</x:v>
      </x:c>
    </x:row>
    <x:row r="36" ht="57" customHeight="1">
      <x:c r="A36" s="4" t="str">
        <x:v>12140346</x:v>
      </x:c>
      <x:c r="B36" s="4" t="str">
        <x:v>Long-term survival differences among low-anxious, high-anxious and repressive copers enrolled in the Montreal heart attack readjustment trial.</x:v>
      </x:c>
      <x:c r="C36" s="4" t="str">
        <x:f>IF(OR(D36="",E36="",F36="",G36=""),"Awaiting two reviews",IF(D36=F36,"Check reviewer names",IF(OR(E36&lt;&gt;G36,E36="Unclear"),IF(OR(H36="",H36="Unclear"),"Resolve disagreement",IF(AND(H36="Exclude",I36=""),"Add exclusion reason","Adjudicated")),IF(AND(E36="Exclude",I36=""),"Add exclusion reason","Concordant"))))</x:f>
        <x:v>Awaiting two reviews</x:v>
      </x:c>
      <x:c r="D36" s="15" t="str"/>
      <x:c r="E36" s="15" t="str"/>
      <x:c r="F36" s="15" t="str"/>
      <x:c r="G36" s="15" t="str"/>
      <x:c r="H36" s="15" t="str"/>
      <x:c r="I36" s="15" t="str"/>
      <x:c r="J36" s="18" t="str"/>
      <x:c r="K36" s="4" t="str"/>
      <x:c r="L36" s="4" t="str">
        <x:v>Cardiovascular care title terms; manual classification pending</x:v>
      </x:c>
      <x:c r="M36" s="4" t="str">
        <x:v>Frasure-Smith N; Lespérance F; Gravel G; Masson A; Juneau M; Bourassa MG</x:v>
      </x:c>
      <x:c r="N36" s="16" t="n">
        <x:v>2002</x:v>
      </x:c>
      <x:c r="O36" s="4" t="str">
        <x:v>Psychosomatic medicine</x:v>
      </x:c>
      <x:c r="P36" s="4" t="str">
        <x:v>10.1097/01.psy.0000021950.04969.f8</x:v>
      </x:c>
      <x:c r="Q36" s="4" t="str">
        <x:v>https://pubmed.ncbi.nlm.nih.gov/12140346/</x:v>
      </x:c>
      <x:c r="R36" s="4" t="str">
        <x:v>Abstracts row 36</x:v>
      </x:c>
    </x:row>
    <x:row r="37" ht="57" customHeight="1">
      <x:c r="A37" s="10" t="str">
        <x:v>39417222</x:v>
      </x:c>
      <x:c r="B37" s="10" t="str">
        <x:v>Benzodiazepine Utilization in Ischemic Stroke Survivors: Analyzing Initial Excess Supply and Longitudinal Trends.</x:v>
      </x:c>
      <x:c r="C37" s="10" t="str">
        <x:f>IF(OR(D37="",E37="",F37="",G37=""),"Awaiting two reviews",IF(D37=F37,"Check reviewer names",IF(OR(E37&lt;&gt;G37,E37="Unclear"),IF(OR(H37="",H37="Unclear"),"Resolve disagreement",IF(AND(H37="Exclude",I37=""),"Add exclusion reason","Adjudicated")),IF(AND(E37="Exclude",I37=""),"Add exclusion reason","Concordant"))))</x:f>
        <x:v>Awaiting two reviews</x:v>
      </x:c>
      <x:c r="D37" s="15" t="str"/>
      <x:c r="E37" s="15" t="str"/>
      <x:c r="F37" s="15" t="str"/>
      <x:c r="G37" s="15" t="str"/>
      <x:c r="H37" s="15" t="str"/>
      <x:c r="I37" s="15" t="str"/>
      <x:c r="J37" s="18" t="str"/>
      <x:c r="K37" s="10" t="str"/>
      <x:c r="L37" s="10" t="str">
        <x:v>Cardiovascular care title terms; manual classification pending</x:v>
      </x:c>
      <x:c r="M37" s="10" t="str">
        <x:v>Lomachinsky Torres V; Brooks JD; Donahue MA; Sun S; Hsu J; Price M; Blacker D; Schwamm LH; Newhouse JP; Haneuse S; Moura LMVR</x:v>
      </x:c>
      <x:c r="N37" s="17" t="n">
        <x:v>2024</x:v>
      </x:c>
      <x:c r="O37" s="10" t="str">
        <x:v>Stroke</x:v>
      </x:c>
      <x:c r="P37" s="10" t="str">
        <x:v>10.1161/STROKEAHA.124.047257</x:v>
      </x:c>
      <x:c r="Q37" s="10" t="str">
        <x:v>https://pubmed.ncbi.nlm.nih.gov/39417222/</x:v>
      </x:c>
      <x:c r="R37" s="10" t="str">
        <x:v>Abstracts row 37</x:v>
      </x:c>
    </x:row>
    <x:row r="38" ht="57" customHeight="1">
      <x:c r="A38" s="4" t="str">
        <x:v>30282770</x:v>
      </x:c>
      <x:c r="B38" s="4" t="str">
        <x:v>Racial differences in recurrent ischemic stroke risk and recurrent stroke case fatality.</x:v>
      </x:c>
      <x:c r="C38" s="4" t="str">
        <x:f>IF(OR(D38="",E38="",F38="",G38=""),"Awaiting two reviews",IF(D38=F38,"Check reviewer names",IF(OR(E38&lt;&gt;G38,E38="Unclear"),IF(OR(H38="",H38="Unclear"),"Resolve disagreement",IF(AND(H38="Exclude",I38=""),"Add exclusion reason","Adjudicated")),IF(AND(E38="Exclude",I38=""),"Add exclusion reason","Concordant"))))</x:f>
        <x:v>Awaiting two reviews</x:v>
      </x:c>
      <x:c r="D38" s="15" t="str"/>
      <x:c r="E38" s="15" t="str"/>
      <x:c r="F38" s="15" t="str"/>
      <x:c r="G38" s="15" t="str"/>
      <x:c r="H38" s="15" t="str"/>
      <x:c r="I38" s="15" t="str"/>
      <x:c r="J38" s="18" t="str"/>
      <x:c r="K38" s="4" t="str"/>
      <x:c r="L38" s="4" t="str">
        <x:v>Cardiovascular care title terms; manual classification pending</x:v>
      </x:c>
      <x:c r="M38" s="4" t="str">
        <x:v>Albright KC; Huang L; Blackburn J; Howard G; Mullen M; Bittner V; Muntner P; Howard V</x:v>
      </x:c>
      <x:c r="N38" s="16" t="n">
        <x:v>2018</x:v>
      </x:c>
      <x:c r="O38" s="4" t="str">
        <x:v>Neurology</x:v>
      </x:c>
      <x:c r="P38" s="4" t="str">
        <x:v>10.1212/WNL.0000000000006467</x:v>
      </x:c>
      <x:c r="Q38" s="4" t="str">
        <x:v>https://pubmed.ncbi.nlm.nih.gov/30282770/</x:v>
      </x:c>
      <x:c r="R38" s="4" t="str">
        <x:v>Abstracts row 38</x:v>
      </x:c>
    </x:row>
    <x:row r="39" ht="57" customHeight="1">
      <x:c r="A39" s="10" t="str">
        <x:v>40528405</x:v>
      </x:c>
      <x:c r="B39" s="10" t="str">
        <x:v>Cervical cancer screening in women with HIV: an audit of clinical care.</x:v>
      </x:c>
      <x:c r="C39" s="10" t="str">
        <x:f>IF(OR(D39="",E39="",F39="",G39=""),"Awaiting two reviews",IF(D39=F39,"Check reviewer names",IF(OR(E39&lt;&gt;G39,E39="Unclear"),IF(OR(H39="",H39="Unclear"),"Resolve disagreement",IF(AND(H39="Exclude",I39=""),"Add exclusion reason","Adjudicated")),IF(AND(E39="Exclude",I39=""),"Add exclusion reason","Concordant"))))</x:f>
        <x:v>Awaiting two reviews</x:v>
      </x:c>
      <x:c r="D39" s="15" t="str"/>
      <x:c r="E39" s="15" t="str"/>
      <x:c r="F39" s="15" t="str"/>
      <x:c r="G39" s="15" t="str"/>
      <x:c r="H39" s="15" t="str"/>
      <x:c r="I39" s="15" t="str"/>
      <x:c r="J39" s="18" t="str"/>
      <x:c r="K39" s="10" t="str"/>
      <x:c r="L39" s="10" t="str">
        <x:v>Cancer and survivorship title terms; manual classification pending</x:v>
      </x:c>
      <x:c r="M39" s="10" t="str">
        <x:v>Griffiths PM; Samra R; Lester G; Rawson-Harris P; Hoy JF; McMahon JH</x:v>
      </x:c>
      <x:c r="N39" s="17" t="n">
        <x:v>2025</x:v>
      </x:c>
      <x:c r="O39" s="10" t="str">
        <x:v>AIDS (London, England)</x:v>
      </x:c>
      <x:c r="P39" s="10" t="str">
        <x:v>10.1097/QAD.0000000000004266</x:v>
      </x:c>
      <x:c r="Q39" s="10" t="str">
        <x:v>https://pubmed.ncbi.nlm.nih.gov/40528405/</x:v>
      </x:c>
      <x:c r="R39" s="10" t="str">
        <x:v>Abstracts row 39</x:v>
      </x:c>
    </x:row>
    <x:row r="40" ht="57" customHeight="1">
      <x:c r="A40" s="4" t="str">
        <x:v>15693926</x:v>
      </x:c>
      <x:c r="B40" s="4" t="str">
        <x:v>The association of ambulatory care with breast cancer stage at diagnosis among Medicare beneficiaries.</x:v>
      </x:c>
      <x:c r="C40" s="4" t="str">
        <x:f>IF(OR(D40="",E40="",F40="",G40=""),"Awaiting two reviews",IF(D40=F40,"Check reviewer names",IF(OR(E40&lt;&gt;G40,E40="Unclear"),IF(OR(H40="",H40="Unclear"),"Resolve disagreement",IF(AND(H40="Exclude",I40=""),"Add exclusion reason","Adjudicated")),IF(AND(E40="Exclude",I40=""),"Add exclusion reason","Concordant"))))</x:f>
        <x:v>Awaiting two reviews</x:v>
      </x:c>
      <x:c r="D40" s="15" t="str"/>
      <x:c r="E40" s="15" t="str"/>
      <x:c r="F40" s="15" t="str"/>
      <x:c r="G40" s="15" t="str"/>
      <x:c r="H40" s="15" t="str"/>
      <x:c r="I40" s="15" t="str"/>
      <x:c r="J40" s="18" t="str"/>
      <x:c r="K40" s="4" t="str"/>
      <x:c r="L40" s="4" t="str">
        <x:v>Cancer and survivorship title terms; manual classification pending</x:v>
      </x:c>
      <x:c r="M40" s="4" t="str">
        <x:v>Keating NL; Landrum MB; Ayanian JZ; Winer EP; Guadagnoli E</x:v>
      </x:c>
      <x:c r="N40" s="16" t="n">
        <x:v>2005</x:v>
      </x:c>
      <x:c r="O40" s="4" t="str">
        <x:v>Journal of general internal medicine</x:v>
      </x:c>
      <x:c r="P40" s="4" t="str">
        <x:v>10.1111/j.1525-1497.2004.40079.x</x:v>
      </x:c>
      <x:c r="Q40" s="4" t="str">
        <x:v>https://pubmed.ncbi.nlm.nih.gov/15693926/</x:v>
      </x:c>
      <x:c r="R40" s="4" t="str">
        <x:v>Abstracts row 40</x:v>
      </x:c>
    </x:row>
    <x:row r="41" ht="57" customHeight="1">
      <x:c r="A41" s="10" t="str">
        <x:v>34293915</x:v>
      </x:c>
      <x:c r="B41" s="10" t="str">
        <x:v>Management of Patients with Metastatic Castration-Sensitive Prostate Cancer in the Real-World Setting in the United States.</x:v>
      </x:c>
      <x:c r="C41" s="10" t="str">
        <x:f>IF(OR(D41="",E41="",F41="",G41=""),"Awaiting two reviews",IF(D41=F41,"Check reviewer names",IF(OR(E41&lt;&gt;G41,E41="Unclear"),IF(OR(H41="",H41="Unclear"),"Resolve disagreement",IF(AND(H41="Exclude",I41=""),"Add exclusion reason","Adjudicated")),IF(AND(E41="Exclude",I41=""),"Add exclusion reason","Concordant"))))</x:f>
        <x:v>Awaiting two reviews</x:v>
      </x:c>
      <x:c r="D41" s="15" t="str"/>
      <x:c r="E41" s="15" t="str"/>
      <x:c r="F41" s="15" t="str"/>
      <x:c r="G41" s="15" t="str"/>
      <x:c r="H41" s="15" t="str"/>
      <x:c r="I41" s="15" t="str"/>
      <x:c r="J41" s="18" t="str"/>
      <x:c r="K41" s="10" t="str"/>
      <x:c r="L41" s="10" t="str">
        <x:v>Cancer and survivorship title terms; manual classification pending</x:v>
      </x:c>
      <x:c r="M41" s="10" t="str">
        <x:v>Ryan CJ; Ke X; Lafeuille MH; Romdhani H; Kinkead F; Lefebvre P; Petrilla A; Pulungan Z; Kim S; D'Andrea DM; Francis P; Freedland SJ</x:v>
      </x:c>
      <x:c r="N41" s="17" t="n">
        <x:v>2021</x:v>
      </x:c>
      <x:c r="O41" s="10" t="str">
        <x:v>The Journal of urology</x:v>
      </x:c>
      <x:c r="P41" s="10" t="str">
        <x:v>10.1097/JU.0000000000002121</x:v>
      </x:c>
      <x:c r="Q41" s="10" t="str">
        <x:v>https://pubmed.ncbi.nlm.nih.gov/34293915/</x:v>
      </x:c>
      <x:c r="R41" s="10" t="str">
        <x:v>Abstracts row 41</x:v>
      </x:c>
    </x:row>
    <x:row r="42" ht="96" customHeight="1">
      <x:c r="A42" s="4" t="str">
        <x:v>41915775</x:v>
      </x:c>
      <x:c r="B42" s="4" t="str">
        <x:v>Comparing the Effectiveness of Electronic Symptom Monitoring versus Usual Care in Improving Survival among Patients with Metastatic Cancer—The PRO-TECT Trial</x:v>
      </x:c>
      <x:c r="C42" s="4" t="str">
        <x:f>IF(OR(D42="",E42="",F42="",G42=""),"Awaiting two reviews",IF(D42=F42,"Check reviewer names",IF(OR(E42&lt;&gt;G42,E42="Unclear"),IF(OR(H42="",H42="Unclear"),"Resolve disagreement",IF(AND(H42="Exclude",I42=""),"Add exclusion reason","Adjudicated")),IF(AND(E42="Exclude",I42=""),"Add exclusion reason","Concordant"))))</x:f>
        <x:v>Awaiting two reviews</x:v>
      </x:c>
      <x:c r="D42" s="15" t="str"/>
      <x:c r="E42" s="15" t="str"/>
      <x:c r="F42" s="15" t="str"/>
      <x:c r="G42" s="15" t="str"/>
      <x:c r="H42" s="15" t="str"/>
      <x:c r="I42" s="15" t="str"/>
      <x:c r="J42" s="18" t="str"/>
      <x:c r="K42" s="4" t="str"/>
      <x:c r="L42" s="4" t="str">
        <x:v>Cancer and survivorship title terms; manual classification pending</x:v>
      </x:c>
      <x:c r="M42" s="4" t="str">
        <x:v>Basch E; Schrag D; Henson S; Jansen J; Ginos B; Stover AM; Carr P; Spears PA; Jonsson M; Deal AM; Bennett AV; Thanarajasingam G; Rogak LJ; Reeve BB; Snyder C; Bruner D; Cella D; Kottschade LA; Perlmutter J; Geoghegan C; Samuel-Ryals CA; Given B; Mazza GL; Miller R; Strasser JF; Zylla DM; Rapperport A; Weiss A; Blinder VS; Dueck AC</x:v>
      </x:c>
      <x:c r="N42" s="16" t="n">
        <x:v>2024</x:v>
      </x:c>
      <x:c r="O42" s="4" t="str"/>
      <x:c r="P42" s="4" t="str">
        <x:v>10.25302/01.2024.IHS.151133392</x:v>
      </x:c>
      <x:c r="Q42" s="4" t="str">
        <x:v>https://pubmed.ncbi.nlm.nih.gov/41915775/</x:v>
      </x:c>
      <x:c r="R42" s="4" t="str">
        <x:v>Abstracts row 42</x:v>
      </x:c>
    </x:row>
    <x:row r="43" ht="57" customHeight="1">
      <x:c r="A43" s="10" t="str">
        <x:v>38033283</x:v>
      </x:c>
      <x:c r="B43" s="10" t="str">
        <x:v>Inflammatory Tongue Conditions and Risk of Oral Tongue Cancer Among the US Elderly Individuals.</x:v>
      </x:c>
      <x:c r="C43" s="10" t="str">
        <x:f>IF(OR(D43="",E43="",F43="",G43=""),"Awaiting two reviews",IF(D43=F43,"Check reviewer names",IF(OR(E43&lt;&gt;G43,E43="Unclear"),IF(OR(H43="",H43="Unclear"),"Resolve disagreement",IF(AND(H43="Exclude",I43=""),"Add exclusion reason","Adjudicated")),IF(AND(E43="Exclude",I43=""),"Add exclusion reason","Concordant"))))</x:f>
        <x:v>Awaiting two reviews</x:v>
      </x:c>
      <x:c r="D43" s="15" t="str"/>
      <x:c r="E43" s="15" t="str"/>
      <x:c r="F43" s="15" t="str"/>
      <x:c r="G43" s="15" t="str"/>
      <x:c r="H43" s="15" t="str"/>
      <x:c r="I43" s="15" t="str"/>
      <x:c r="J43" s="18" t="str"/>
      <x:c r="K43" s="10" t="str"/>
      <x:c r="L43" s="10" t="str">
        <x:v>Cancer and survivorship title terms; manual classification pending</x:v>
      </x:c>
      <x:c r="M43" s="10" t="str">
        <x:v>Tota JE; Engels EA; Lingen MW; Agrawal N; Kerr AR; Zumsteg ZS; Cheung LC; Katki HA; Abnet CC; Chaturvedi AK</x:v>
      </x:c>
      <x:c r="N43" s="17" t="n">
        <x:v>2024</x:v>
      </x:c>
      <x:c r="O43" s="10" t="str">
        <x:v>Journal of clinical oncology : official journal of the American Society of Clinical Oncology</x:v>
      </x:c>
      <x:c r="P43" s="10" t="str">
        <x:v>10.1200/JCO.23.00729</x:v>
      </x:c>
      <x:c r="Q43" s="10" t="str">
        <x:v>https://pubmed.ncbi.nlm.nih.gov/38033283/</x:v>
      </x:c>
      <x:c r="R43" s="10" t="str">
        <x:v>Abstracts row 43</x:v>
      </x:c>
    </x:row>
    <x:row r="44" ht="57" customHeight="1">
      <x:c r="A44" s="4" t="str">
        <x:v>33875252</x:v>
      </x:c>
      <x:c r="B44" s="4" t="str">
        <x:v>Trends in opioid prescription for craniomaxillofacial trauma in the United States: An 11-year retrospective study of emergency room and office visits.</x:v>
      </x:c>
      <x:c r="C44" s="4" t="str">
        <x:f>IF(OR(D44="",E44="",F44="",G44=""),"Awaiting two reviews",IF(D44=F44,"Check reviewer names",IF(OR(E44&lt;&gt;G44,E44="Unclear"),IF(OR(H44="",H44="Unclear"),"Resolve disagreement",IF(AND(H44="Exclude",I44=""),"Add exclusion reason","Adjudicated")),IF(AND(E44="Exclude",I44=""),"Add exclusion reason","Concordant"))))</x:f>
        <x:v>Awaiting two reviews</x:v>
      </x:c>
      <x:c r="D44" s="15" t="str"/>
      <x:c r="E44" s="15" t="str"/>
      <x:c r="F44" s="15" t="str"/>
      <x:c r="G44" s="15" t="str"/>
      <x:c r="H44" s="15" t="str"/>
      <x:c r="I44" s="15" t="str"/>
      <x:c r="J44" s="18" t="str"/>
      <x:c r="K44" s="4" t="str"/>
      <x:c r="L44" s="4" t="str">
        <x:v>Mental health and pain title terms; manual classification pending</x:v>
      </x:c>
      <x:c r="M44" s="4" t="str">
        <x:v>Shah J; Lesko RP; Lala B; Ricci J</x:v>
      </x:c>
      <x:c r="N44" s="16" t="n">
        <x:v>2021</x:v>
      </x:c>
      <x:c r="O44" s="4" t="str">
        <x:v>Surgery</x:v>
      </x:c>
      <x:c r="P44" s="4" t="str">
        <x:v>10.1016/j.surg.2021.03.007</x:v>
      </x:c>
      <x:c r="Q44" s="4" t="str">
        <x:v>https://pubmed.ncbi.nlm.nih.gov/33875252/</x:v>
      </x:c>
      <x:c r="R44" s="4" t="str">
        <x:v>Abstracts row 44</x:v>
      </x:c>
    </x:row>
    <x:row r="45" ht="57" customHeight="1">
      <x:c r="A45" s="10" t="str">
        <x:v>40569592</x:v>
      </x:c>
      <x:c r="B45" s="10" t="str">
        <x:v>Receipt of Buprenorphine and Naltrexone for Opioid Use Disorder by Race and Ethnicity and Insurance Type.</x:v>
      </x:c>
      <x:c r="C45" s="10" t="str">
        <x:f>IF(OR(D45="",E45="",F45="",G45=""),"Awaiting two reviews",IF(D45=F45,"Check reviewer names",IF(OR(E45&lt;&gt;G45,E45="Unclear"),IF(OR(H45="",H45="Unclear"),"Resolve disagreement",IF(AND(H45="Exclude",I45=""),"Add exclusion reason","Adjudicated")),IF(AND(E45="Exclude",I45=""),"Add exclusion reason","Concordant"))))</x:f>
        <x:v>Awaiting two reviews</x:v>
      </x:c>
      <x:c r="D45" s="15" t="str"/>
      <x:c r="E45" s="15" t="str"/>
      <x:c r="F45" s="15" t="str"/>
      <x:c r="G45" s="15" t="str"/>
      <x:c r="H45" s="15" t="str"/>
      <x:c r="I45" s="15" t="str"/>
      <x:c r="J45" s="18" t="str"/>
      <x:c r="K45" s="10" t="str"/>
      <x:c r="L45" s="10" t="str">
        <x:v>Mental health and pain title terms; manual classification pending</x:v>
      </x:c>
      <x:c r="M45" s="10" t="str">
        <x:v>Khatri UG; Lopez C; Yen YT; Ling EJ; Richardson LD; Ngai KM</x:v>
      </x:c>
      <x:c r="N45" s="17" t="n">
        <x:v>2025</x:v>
      </x:c>
      <x:c r="O45" s="10" t="str">
        <x:v>JAMA network open</x:v>
      </x:c>
      <x:c r="P45" s="10" t="str">
        <x:v>10.1001/jamanetworkopen.2025.18493</x:v>
      </x:c>
      <x:c r="Q45" s="10" t="str">
        <x:v>https://pubmed.ncbi.nlm.nih.gov/40569592/</x:v>
      </x:c>
      <x:c r="R45" s="10" t="str">
        <x:v>Abstracts row 45</x:v>
      </x:c>
    </x:row>
    <x:row r="46" ht="57" customHeight="1">
      <x:c r="A46" s="4" t="str">
        <x:v>34176279</x:v>
      </x:c>
      <x:c r="B46" s="4" t="str">
        <x:v>Impact of High-Deductible Health Plans on Emergency Department Patients With Nonspecific Chest Pain and Their Subsequent Care.</x:v>
      </x:c>
      <x:c r="C46" s="4" t="str">
        <x:f>IF(OR(D46="",E46="",F46="",G46=""),"Awaiting two reviews",IF(D46=F46,"Check reviewer names",IF(OR(E46&lt;&gt;G46,E46="Unclear"),IF(OR(H46="",H46="Unclear"),"Resolve disagreement",IF(AND(H46="Exclude",I46=""),"Add exclusion reason","Adjudicated")),IF(AND(E46="Exclude",I46=""),"Add exclusion reason","Concordant"))))</x:f>
        <x:v>Awaiting two reviews</x:v>
      </x:c>
      <x:c r="D46" s="15" t="str"/>
      <x:c r="E46" s="15" t="str"/>
      <x:c r="F46" s="15" t="str"/>
      <x:c r="G46" s="15" t="str"/>
      <x:c r="H46" s="15" t="str"/>
      <x:c r="I46" s="15" t="str"/>
      <x:c r="J46" s="18" t="str"/>
      <x:c r="K46" s="4" t="str"/>
      <x:c r="L46" s="4" t="str">
        <x:v>Mental health and pain title terms; manual classification pending</x:v>
      </x:c>
      <x:c r="M46" s="4" t="str">
        <x:v>Chou SC; Hong AS; Weiner SG; Wharam JF</x:v>
      </x:c>
      <x:c r="N46" s="16" t="n">
        <x:v>2021</x:v>
      </x:c>
      <x:c r="O46" s="4" t="str">
        <x:v>Circulation</x:v>
      </x:c>
      <x:c r="P46" s="4" t="str">
        <x:v>10.1161/CIRCULATIONAHA.120.052501</x:v>
      </x:c>
      <x:c r="Q46" s="4" t="str">
        <x:v>https://pubmed.ncbi.nlm.nih.gov/34176279/</x:v>
      </x:c>
      <x:c r="R46" s="4" t="str">
        <x:v>Abstracts row 46</x:v>
      </x:c>
    </x:row>
    <x:row r="47" ht="57" customHeight="1">
      <x:c r="A47" s="10" t="str">
        <x:v>39828938</x:v>
      </x:c>
      <x:c r="B47" s="10" t="str">
        <x:v>A time series analysis of Medicare-reimbursed telepsychiatry consultations across Australian states and territories before and after telehealth item expansion: Enabling policy can improve access to care.</x:v>
      </x:c>
      <x:c r="C47" s="10" t="str">
        <x:f>IF(OR(D47="",E47="",F47="",G47=""),"Awaiting two reviews",IF(D47=F47,"Check reviewer names",IF(OR(E47&lt;&gt;G47,E47="Unclear"),IF(OR(H47="",H47="Unclear"),"Resolve disagreement",IF(AND(H47="Exclude",I47=""),"Add exclusion reason","Adjudicated")),IF(AND(E47="Exclude",I47=""),"Add exclusion reason","Concordant"))))</x:f>
        <x:v>Awaiting two reviews</x:v>
      </x:c>
      <x:c r="D47" s="15" t="str"/>
      <x:c r="E47" s="15" t="str"/>
      <x:c r="F47" s="15" t="str"/>
      <x:c r="G47" s="15" t="str"/>
      <x:c r="H47" s="15" t="str"/>
      <x:c r="I47" s="15" t="str"/>
      <x:c r="J47" s="18" t="str"/>
      <x:c r="K47" s="10" t="str"/>
      <x:c r="L47" s="10" t="str">
        <x:v>Mental health and pain title terms; manual classification pending</x:v>
      </x:c>
      <x:c r="M47" s="10" t="str">
        <x:v>Woon LS; A Maguire P; Reay RE; Smith D; Bastiampillai T; Looi JC</x:v>
      </x:c>
      <x:c r="N47" s="17" t="n">
        <x:v>2026</x:v>
      </x:c>
      <x:c r="O47" s="10" t="str">
        <x:v>Journal of telemedicine and telecare</x:v>
      </x:c>
      <x:c r="P47" s="10" t="str">
        <x:v>10.1177/1357633X241311623</x:v>
      </x:c>
      <x:c r="Q47" s="10" t="str">
        <x:v>https://pubmed.ncbi.nlm.nih.gov/39828938/</x:v>
      </x:c>
      <x:c r="R47" s="10" t="str">
        <x:v>Abstracts row 47</x:v>
      </x:c>
    </x:row>
    <x:row r="48" ht="57" customHeight="1">
      <x:c r="A48" s="4" t="str">
        <x:v>30947888</x:v>
      </x:c>
      <x:c r="B48" s="4" t="str">
        <x:v>Sociodemographic Variation in the Use of Conservative Therapy Before MRI of the Lumbar Spine for Low Back Pain in the Era of Public Reporting.</x:v>
      </x:c>
      <x:c r="C48" s="4" t="str">
        <x:f>IF(OR(D48="",E48="",F48="",G48=""),"Awaiting two reviews",IF(D48=F48,"Check reviewer names",IF(OR(E48&lt;&gt;G48,E48="Unclear"),IF(OR(H48="",H48="Unclear"),"Resolve disagreement",IF(AND(H48="Exclude",I48=""),"Add exclusion reason","Adjudicated")),IF(AND(E48="Exclude",I48=""),"Add exclusion reason","Concordant"))))</x:f>
        <x:v>Awaiting two reviews</x:v>
      </x:c>
      <x:c r="D48" s="15" t="str"/>
      <x:c r="E48" s="15" t="str"/>
      <x:c r="F48" s="15" t="str"/>
      <x:c r="G48" s="15" t="str"/>
      <x:c r="H48" s="15" t="str"/>
      <x:c r="I48" s="15" t="str"/>
      <x:c r="J48" s="18" t="str"/>
      <x:c r="K48" s="4" t="str"/>
      <x:c r="L48" s="4" t="str">
        <x:v>Mental health and pain title terms; manual classification pending</x:v>
      </x:c>
      <x:c r="M48" s="4" t="str">
        <x:v>Lind KE; Flug JA</x:v>
      </x:c>
      <x:c r="N48" s="16" t="n">
        <x:v>2019</x:v>
      </x:c>
      <x:c r="O48" s="4" t="str">
        <x:v>Journal of the American College of Radiology : JACR</x:v>
      </x:c>
      <x:c r="P48" s="4" t="str">
        <x:v>10.1016/j.jacr.2018.12.047</x:v>
      </x:c>
      <x:c r="Q48" s="4" t="str">
        <x:v>https://pubmed.ncbi.nlm.nih.gov/30947888/</x:v>
      </x:c>
      <x:c r="R48" s="4" t="str">
        <x:v>Abstracts row 48</x:v>
      </x:c>
    </x:row>
    <x:row r="49" ht="57" customHeight="1">
      <x:c r="A49" s="10" t="str">
        <x:v>41067704</x:v>
      </x:c>
      <x:c r="B49" s="10" t="str">
        <x:v>Litigation Involving Intravitreal Injections in Ophthalmology: A Review of Legal Claims and Outcomes.</x:v>
      </x:c>
      <x:c r="C49" s="10" t="str">
        <x:f>IF(OR(D49="",E49="",F49="",G49=""),"Awaiting two reviews",IF(D49=F49,"Check reviewer names",IF(OR(E49&lt;&gt;G49,E49="Unclear"),IF(OR(H49="",H49="Unclear"),"Resolve disagreement",IF(AND(H49="Exclude",I49=""),"Add exclusion reason","Adjudicated")),IF(AND(E49="Exclude",I49=""),"Add exclusion reason","Concordant"))))</x:f>
        <x:v>Awaiting two reviews</x:v>
      </x:c>
      <x:c r="D49" s="15" t="str"/>
      <x:c r="E49" s="15" t="str"/>
      <x:c r="F49" s="15" t="str"/>
      <x:c r="G49" s="15" t="str"/>
      <x:c r="H49" s="15" t="str"/>
      <x:c r="I49" s="15" t="str"/>
      <x:c r="J49" s="18" t="str"/>
      <x:c r="K49" s="10" t="str"/>
      <x:c r="L49" s="10" t="str">
        <x:v>Physician-gender context title terms; manual classification pending</x:v>
      </x:c>
      <x:c r="M49" s="10" t="str">
        <x:v>Bantounou MA; Starr MR</x:v>
      </x:c>
      <x:c r="N49" s="17" t="n">
        <x:v>2026</x:v>
      </x:c>
      <x:c r="O49" s="10" t="str">
        <x:v>Ophthalmology. Retina</x:v>
      </x:c>
      <x:c r="P49" s="10" t="str">
        <x:v>10.1016/j.oret.2025.09.014</x:v>
      </x:c>
      <x:c r="Q49" s="10" t="str">
        <x:v>https://pubmed.ncbi.nlm.nih.gov/41067704/</x:v>
      </x:c>
      <x:c r="R49" s="10" t="str">
        <x:v>Abstracts row 49</x:v>
      </x:c>
    </x:row>
    <x:row r="50" ht="57" customHeight="1">
      <x:c r="A50" s="4" t="str">
        <x:v>9679997</x:v>
      </x:c>
      <x:c r="B50" s="4" t="str">
        <x:v>The association of physician attitudes about uncertainty and risk taking with resource use in a Medicare HMO.</x:v>
      </x:c>
      <x:c r="C50" s="4" t="str">
        <x:f>IF(OR(D50="",E50="",F50="",G50=""),"Awaiting two reviews",IF(D50=F50,"Check reviewer names",IF(OR(E50&lt;&gt;G50,E50="Unclear"),IF(OR(H50="",H50="Unclear"),"Resolve disagreement",IF(AND(H50="Exclude",I50=""),"Add exclusion reason","Adjudicated")),IF(AND(E50="Exclude",I50=""),"Add exclusion reason","Concordant"))))</x:f>
        <x:v>Awaiting two reviews</x:v>
      </x:c>
      <x:c r="D50" s="15" t="str"/>
      <x:c r="E50" s="15" t="str"/>
      <x:c r="F50" s="15" t="str"/>
      <x:c r="G50" s="15" t="str"/>
      <x:c r="H50" s="15" t="str"/>
      <x:c r="I50" s="15" t="str"/>
      <x:c r="J50" s="18" t="str"/>
      <x:c r="K50" s="4" t="str"/>
      <x:c r="L50" s="4" t="str">
        <x:v>Physician-gender context title terms; manual classification pending</x:v>
      </x:c>
      <x:c r="M50" s="4" t="str">
        <x:v>Allison JJ; Kiefe CI; Cook EF; Gerrity MS; Orav EJ; Centor R</x:v>
      </x:c>
      <x:c r="N50" s="16" t="n">
        <x:v>1998</x:v>
      </x:c>
      <x:c r="O50" s="4" t="str">
        <x:v>Medical decision making : an international journal of the Society for Medical Decision Making</x:v>
      </x:c>
      <x:c r="P50" s="4" t="str">
        <x:v>10.1177/0272989X9801800310</x:v>
      </x:c>
      <x:c r="Q50" s="4" t="str">
        <x:v>https://pubmed.ncbi.nlm.nih.gov/9679997/</x:v>
      </x:c>
      <x:c r="R50" s="4" t="str">
        <x:v>Abstracts row 50</x:v>
      </x:c>
    </x:row>
    <x:row r="51" ht="57" customHeight="1">
      <x:c r="A51" s="10" t="str">
        <x:v>32282264</x:v>
      </x:c>
      <x:c r="B51" s="10" t="str">
        <x:v>Physician Practice Variability in the Use of Extended-Fraction Radiation Therapy for Bone Metastases: Are We Choosing Wisely?</x:v>
      </x:c>
      <x:c r="C51" s="10" t="str">
        <x:f>IF(OR(D51="",E51="",F51="",G51=""),"Awaiting two reviews",IF(D51=F51,"Check reviewer names",IF(OR(E51&lt;&gt;G51,E51="Unclear"),IF(OR(H51="",H51="Unclear"),"Resolve disagreement",IF(AND(H51="Exclude",I51=""),"Add exclusion reason","Adjudicated")),IF(AND(E51="Exclude",I51=""),"Add exclusion reason","Concordant"))))</x:f>
        <x:v>Awaiting two reviews</x:v>
      </x:c>
      <x:c r="D51" s="15" t="str"/>
      <x:c r="E51" s="15" t="str"/>
      <x:c r="F51" s="15" t="str"/>
      <x:c r="G51" s="15" t="str"/>
      <x:c r="H51" s="15" t="str"/>
      <x:c r="I51" s="15" t="str"/>
      <x:c r="J51" s="18" t="str"/>
      <x:c r="K51" s="10" t="str"/>
      <x:c r="L51" s="10" t="str">
        <x:v>Physician-gender context title terms; manual classification pending</x:v>
      </x:c>
      <x:c r="M51" s="10" t="str">
        <x:v>Gupta A; Wang P; Sedhom R; Chino F; Waddle MR; Miller RC; Johnson DH; Sanford NN; Narang A; Alcorn SR; Makary MA</x:v>
      </x:c>
      <x:c r="N51" s="17" t="n">
        <x:v>2020</x:v>
      </x:c>
      <x:c r="O51" s="10" t="str">
        <x:v>JCO oncology practice</x:v>
      </x:c>
      <x:c r="P51" s="10" t="str">
        <x:v>10.1200/JOP.19.00633</x:v>
      </x:c>
      <x:c r="Q51" s="10" t="str">
        <x:v>https://pubmed.ncbi.nlm.nih.gov/32282264/</x:v>
      </x:c>
      <x:c r="R51" s="10" t="str">
        <x:v>Abstracts row 51</x:v>
      </x:c>
    </x:row>
    <x:row r="52" ht="57" customHeight="1">
      <x:c r="A52" s="4" t="str">
        <x:v>30650175</x:v>
      </x:c>
      <x:c r="B52" s="4" t="str">
        <x:v>The Characteristics of Surgeons Performing Total Shoulder Arthroplasty: Volume Consistency, Training, and Specialization.</x:v>
      </x:c>
      <x:c r="C52" s="4" t="str">
        <x:f>IF(OR(D52="",E52="",F52="",G52=""),"Awaiting two reviews",IF(D52=F52,"Check reviewer names",IF(OR(E52&lt;&gt;G52,E52="Unclear"),IF(OR(H52="",H52="Unclear"),"Resolve disagreement",IF(AND(H52="Exclude",I52=""),"Add exclusion reason","Adjudicated")),IF(AND(E52="Exclude",I52=""),"Add exclusion reason","Concordant"))))</x:f>
        <x:v>Awaiting two reviews</x:v>
      </x:c>
      <x:c r="D52" s="15" t="str"/>
      <x:c r="E52" s="15" t="str"/>
      <x:c r="F52" s="15" t="str"/>
      <x:c r="G52" s="15" t="str"/>
      <x:c r="H52" s="15" t="str"/>
      <x:c r="I52" s="15" t="str"/>
      <x:c r="J52" s="18" t="str"/>
      <x:c r="K52" s="4" t="str"/>
      <x:c r="L52" s="4" t="str">
        <x:v>Physician-gender context title terms; manual classification pending</x:v>
      </x:c>
      <x:c r="M52" s="4" t="str">
        <x:v>Zmistowski B; Warrender W; Livesey M; Girden A; Williams GR; Namdari S</x:v>
      </x:c>
      <x:c r="N52" s="16" t="n">
        <x:v>2018</x:v>
      </x:c>
      <x:c r="O52" s="4" t="str">
        <x:v>American journal of orthopedics (Belle Mead, N.J.)</x:v>
      </x:c>
      <x:c r="P52" s="4" t="str">
        <x:v>10.12788/ajo.2018.0111</x:v>
      </x:c>
      <x:c r="Q52" s="4" t="str">
        <x:v>https://pubmed.ncbi.nlm.nih.gov/30650175/</x:v>
      </x:c>
      <x:c r="R52" s="4" t="str">
        <x:v>Abstracts row 52</x:v>
      </x:c>
    </x:row>
    <x:row r="53" ht="57" customHeight="1">
      <x:c r="A53" s="10" t="str">
        <x:v>32006487</x:v>
      </x:c>
      <x:c r="B53" s="10" t="str">
        <x:v>Clinical Productivity and Medicare Payments Among Female and Male Oral and Maxillofacial Surgeons.</x:v>
      </x:c>
      <x:c r="C53" s="10" t="str">
        <x:f>IF(OR(D53="",E53="",F53="",G53=""),"Awaiting two reviews",IF(D53=F53,"Check reviewer names",IF(OR(E53&lt;&gt;G53,E53="Unclear"),IF(OR(H53="",H53="Unclear"),"Resolve disagreement",IF(AND(H53="Exclude",I53=""),"Add exclusion reason","Adjudicated")),IF(AND(E53="Exclude",I53=""),"Add exclusion reason","Concordant"))))</x:f>
        <x:v>Awaiting two reviews</x:v>
      </x:c>
      <x:c r="D53" s="15" t="str"/>
      <x:c r="E53" s="15" t="str"/>
      <x:c r="F53" s="15" t="str"/>
      <x:c r="G53" s="15" t="str"/>
      <x:c r="H53" s="15" t="str"/>
      <x:c r="I53" s="15" t="str"/>
      <x:c r="J53" s="18" t="str"/>
      <x:c r="K53" s="10" t="str"/>
      <x:c r="L53" s="10" t="str">
        <x:v>Physician-gender context title terms; manual classification pending</x:v>
      </x:c>
      <x:c r="M53" s="10" t="str">
        <x:v>Patel NA; Ji YD; Donoff RB</x:v>
      </x:c>
      <x:c r="N53" s="17" t="n">
        <x:v>2020</x:v>
      </x:c>
      <x:c r="O53" s="10" t="str">
        <x:v>Journal of oral and maxillofacial surgery : official journal of the American Association of Oral and Maxillofacial Surgeons</x:v>
      </x:c>
      <x:c r="P53" s="10" t="str">
        <x:v>10.1016/j.joms.2019.12.024</x:v>
      </x:c>
      <x:c r="Q53" s="10" t="str">
        <x:v>https://pubmed.ncbi.nlm.nih.gov/32006487/</x:v>
      </x:c>
      <x:c r="R53" s="10" t="str">
        <x:v>Abstracts row 53</x:v>
      </x:c>
    </x:row>
    <x:row r="54" ht="57" customHeight="1">
      <x:c r="A54" s="4" t="str">
        <x:v>33170867</x:v>
      </x:c>
      <x:c r="B54" s="4" t="str">
        <x:v>Estimated number of eligible Part B beneficiaries for the medicare diabetes prevention program at the county level and by urban-rural classification.</x:v>
      </x:c>
      <x:c r="C54" s="4" t="str">
        <x:f>IF(OR(D54="",E54="",F54="",G54=""),"Awaiting two reviews",IF(D54=F54,"Check reviewer names",IF(OR(E54&lt;&gt;G54,E54="Unclear"),IF(OR(H54="",H54="Unclear"),"Resolve disagreement",IF(AND(H54="Exclude",I54=""),"Add exclusion reason","Adjudicated")),IF(AND(E54="Exclude",I54=""),"Add exclusion reason","Concordant"))))</x:f>
        <x:v>Awaiting two reviews</x:v>
      </x:c>
      <x:c r="D54" s="15" t="str"/>
      <x:c r="E54" s="15" t="str"/>
      <x:c r="F54" s="15" t="str"/>
      <x:c r="G54" s="15" t="str"/>
      <x:c r="H54" s="15" t="str"/>
      <x:c r="I54" s="15" t="str"/>
      <x:c r="J54" s="18" t="str"/>
      <x:c r="K54" s="4" t="str"/>
      <x:c r="L54" s="4" t="str">
        <x:v>Deterministic remainder sample</x:v>
      </x:c>
      <x:c r="M54" s="4" t="str">
        <x:v>Ng BP; Cheng YJ; Rutledge S; Cannon MJ; Zhang P; Smith BD</x:v>
      </x:c>
      <x:c r="N54" s="16" t="n">
        <x:v>2020</x:v>
      </x:c>
      <x:c r="O54" s="4" t="str">
        <x:v>PloS one</x:v>
      </x:c>
      <x:c r="P54" s="4" t="str">
        <x:v>10.1371/journal.pone.0241757</x:v>
      </x:c>
      <x:c r="Q54" s="4" t="str">
        <x:v>https://pubmed.ncbi.nlm.nih.gov/33170867/</x:v>
      </x:c>
      <x:c r="R54" s="4" t="str">
        <x:v>Abstracts row 54</x:v>
      </x:c>
    </x:row>
    <x:row r="55" ht="57" customHeight="1">
      <x:c r="A55" s="10" t="str">
        <x:v>11482118</x:v>
      </x:c>
      <x:c r="B55" s="10" t="str">
        <x:v>Use of home health care by ESRD and Medicare beneficiaries.</x:v>
      </x:c>
      <x:c r="C55" s="10" t="str">
        <x:f>IF(OR(D55="",E55="",F55="",G55=""),"Awaiting two reviews",IF(D55=F55,"Check reviewer names",IF(OR(E55&lt;&gt;G55,E55="Unclear"),IF(OR(H55="",H55="Unclear"),"Resolve disagreement",IF(AND(H55="Exclude",I55=""),"Add exclusion reason","Adjudicated")),IF(AND(E55="Exclude",I55=""),"Add exclusion reason","Concordant"))))</x:f>
        <x:v>Awaiting two reviews</x:v>
      </x:c>
      <x:c r="D55" s="15" t="str"/>
      <x:c r="E55" s="15" t="str"/>
      <x:c r="F55" s="15" t="str"/>
      <x:c r="G55" s="15" t="str"/>
      <x:c r="H55" s="15" t="str"/>
      <x:c r="I55" s="15" t="str"/>
      <x:c r="J55" s="18" t="str"/>
      <x:c r="K55" s="10" t="str"/>
      <x:c r="L55" s="10" t="str">
        <x:v>Deterministic remainder sample</x:v>
      </x:c>
      <x:c r="M55" s="10" t="str">
        <x:v>Kauf TL; Shih YC</x:v>
      </x:c>
      <x:c r="N55" s="17" t="n">
        <x:v>1999</x:v>
      </x:c>
      <x:c r="O55" s="10" t="str">
        <x:v>Health care financing review</x:v>
      </x:c>
      <x:c r="P55" s="10" t="str"/>
      <x:c r="Q55" s="10" t="str">
        <x:v>https://pubmed.ncbi.nlm.nih.gov/11482118/</x:v>
      </x:c>
      <x:c r="R55" s="10" t="str">
        <x:v>Abstracts row 55</x:v>
      </x:c>
    </x:row>
    <x:row r="56" ht="57" customHeight="1">
      <x:c r="A56" s="4" t="str">
        <x:v>23074496</x:v>
      </x:c>
      <x:c r="B56" s="4" t="str">
        <x:v>Enhanced External Counterpulsation (EECP): An Evidence-Based Analysis.</x:v>
      </x:c>
      <x:c r="C56" s="4" t="str">
        <x:f>IF(OR(D56="",E56="",F56="",G56=""),"Awaiting two reviews",IF(D56=F56,"Check reviewer names",IF(OR(E56&lt;&gt;G56,E56="Unclear"),IF(OR(H56="",H56="Unclear"),"Resolve disagreement",IF(AND(H56="Exclude",I56=""),"Add exclusion reason","Adjudicated")),IF(AND(E56="Exclude",I56=""),"Add exclusion reason","Concordant"))))</x:f>
        <x:v>Awaiting two reviews</x:v>
      </x:c>
      <x:c r="D56" s="15" t="str"/>
      <x:c r="E56" s="15" t="str"/>
      <x:c r="F56" s="15" t="str"/>
      <x:c r="G56" s="15" t="str"/>
      <x:c r="H56" s="15" t="str"/>
      <x:c r="I56" s="15" t="str"/>
      <x:c r="J56" s="18" t="str"/>
      <x:c r="K56" s="4" t="str"/>
      <x:c r="L56" s="4" t="str">
        <x:v>Deterministic remainder sample</x:v>
      </x:c>
      <x:c r="M56" s="4" t="str">
        <x:v>Medical Advisory Secretariat</x:v>
      </x:c>
      <x:c r="N56" s="16" t="n">
        <x:v>2006</x:v>
      </x:c>
      <x:c r="O56" s="4" t="str">
        <x:v>Ontario health technology assessment series</x:v>
      </x:c>
      <x:c r="P56" s="4" t="str"/>
      <x:c r="Q56" s="4" t="str">
        <x:v>https://pubmed.ncbi.nlm.nih.gov/23074496/</x:v>
      </x:c>
      <x:c r="R56" s="4" t="str">
        <x:v>Abstracts row 56</x:v>
      </x:c>
    </x:row>
    <x:row r="57" ht="57" customHeight="1">
      <x:c r="A57" s="10" t="str">
        <x:v>39587383</x:v>
      </x:c>
      <x:c r="B57" s="10" t="str">
        <x:v>Trends and disparities in antiretroviral therapy prescription rates among US Medicare beneficiaries with HIV.</x:v>
      </x:c>
      <x:c r="C57" s="10" t="str">
        <x:f>IF(OR(D57="",E57="",F57="",G57=""),"Awaiting two reviews",IF(D57=F57,"Check reviewer names",IF(OR(E57&lt;&gt;G57,E57="Unclear"),IF(OR(H57="",H57="Unclear"),"Resolve disagreement",IF(AND(H57="Exclude",I57=""),"Add exclusion reason","Adjudicated")),IF(AND(E57="Exclude",I57=""),"Add exclusion reason","Concordant"))))</x:f>
        <x:v>Awaiting two reviews</x:v>
      </x:c>
      <x:c r="D57" s="15" t="str"/>
      <x:c r="E57" s="15" t="str"/>
      <x:c r="F57" s="15" t="str"/>
      <x:c r="G57" s="15" t="str"/>
      <x:c r="H57" s="15" t="str"/>
      <x:c r="I57" s="15" t="str"/>
      <x:c r="J57" s="18" t="str"/>
      <x:c r="K57" s="10" t="str"/>
      <x:c r="L57" s="10" t="str">
        <x:v>Deterministic remainder sample</x:v>
      </x:c>
      <x:c r="M57" s="10" t="str">
        <x:v>Yu X; Kuo YF; Dike AA; Efejuku T; Raji MA; Berenson AB; Giordano TP</x:v>
      </x:c>
      <x:c r="N57" s="17" t="n">
        <x:v>2025</x:v>
      </x:c>
      <x:c r="O57" s="10" t="str">
        <x:v>HIV medicine</x:v>
      </x:c>
      <x:c r="P57" s="10" t="str">
        <x:v>10.1111/hiv.13745</x:v>
      </x:c>
      <x:c r="Q57" s="10" t="str">
        <x:v>https://pubmed.ncbi.nlm.nih.gov/39587383/</x:v>
      </x:c>
      <x:c r="R57" s="10" t="str">
        <x:v>Abstracts row 57</x:v>
      </x:c>
    </x:row>
  </x:sheetData>
  <x:dataValidations count="3">
    <x:dataValidation type="list" sqref="E8:E57">
      <x:formula1>"Retrieve full text,Exclude,Unclear"</x:formula1>
    </x:dataValidation>
    <x:dataValidation type="list" sqref="G8:G57">
      <x:formula1>"Retrieve full text,Exclude,Unclear"</x:formula1>
    </x:dataValidation>
    <x:dataValidation type="list" sqref="H8:H57">
      <x:formula1>"Retrieve full text,Exclude,Unclear"</x:formula1>
    </x:dataValidation>
  </x:dataValidations>
  <x:pageMargins left="0.7" right="0.7" top="0.75" bottom="0.75" header="0.3" footer="0.3"/>
  <x:tableParts count="1">
    <x:tablePart xmlns:r="http://schemas.openxmlformats.org/officeDocument/2006/relationships" r:id="R19d187f76a534272"/>
  </x:tableParts>
</x:worksheet>
</file>

<file path=xl/worksheets/sheet5.xml><?xml version="1.0" encoding="utf-8"?>
<x:worksheet xmlns:x="http://schemas.openxmlformats.org/spreadsheetml/2006/main">
  <x:sheetPr>
    <x:tabColor rgb="FF166B70"/>
  </x:sheetPr>
  <x:sheetViews>
    <x:sheetView showGridLines="0" workbookViewId="0">
      <x:pane xSplit="2" ySplit="7" topLeftCell="C8" activePane="bottomRight" state="frozen"/>
    </x:sheetView>
  </x:sheetViews>
  <x:sheetFormatPr defaultRowHeight="15"/>
  <x:cols>
    <x:col min="1" max="1" width="12.220000267028809" hidden="0" customWidth="1"/>
    <x:col min="2" max="2" width="137.77999877929688" hidden="0" customWidth="1"/>
    <x:col min="3" max="3" width="50" hidden="0" customWidth="1"/>
    <x:col min="4" max="4" width="36.66999816894531" hidden="0" customWidth="1"/>
    <x:col min="5" max="5" width="46.66999816894531" hidden="0" customWidth="1"/>
  </x:cols>
  <x:sheetData>
    <x:row r="1">
      <x:c r="A1" s="4"/>
      <x:c r="B1" s="4"/>
      <x:c r="C1" s="4"/>
      <x:c r="D1" s="4"/>
      <x:c r="E1" s="4"/>
    </x:row>
    <x:row r="2" ht="34.5" customHeight="1">
      <x:c r="A2" s="4"/>
      <x:c r="B2" s="5" t="str">
        <x:v>Full PubMed abstracts</x:v>
      </x:c>
      <x:c r="C2" s="4"/>
      <x:c r="D2" s="4"/>
      <x:c r="E2" s="4"/>
    </x:row>
    <x:row r="3" ht="37.5" customHeight="1">
      <x:c r="A3" s="4"/>
      <x:c r="B3" s="4" t="str">
        <x:v>Exact exported abstract text, including section labels. Abstracts are not full-text reviews. No abstract is not itself an exclusion criterion.</x:v>
      </x:c>
      <x:c r="C3" s="4"/>
      <x:c r="D3" s="4"/>
      <x:c r="E3" s="4"/>
    </x:row>
    <x:row r="4">
      <x:c r="A4" s="4"/>
      <x:c r="B4" s="4"/>
      <x:c r="C4" s="4"/>
      <x:c r="D4" s="4"/>
      <x:c r="E4" s="4"/>
    </x:row>
    <x:row r="5">
      <x:c r="A5" s="4"/>
      <x:c r="B5" s="4"/>
      <x:c r="C5" s="4"/>
      <x:c r="D5" s="4"/>
      <x:c r="E5" s="4"/>
    </x:row>
    <x:row r="6">
      <x:c r="A6" s="4"/>
      <x:c r="B6" s="4"/>
      <x:c r="C6" s="4"/>
      <x:c r="D6" s="4"/>
      <x:c r="E6" s="4"/>
    </x:row>
    <x:row r="7" ht="33" customHeight="1">
      <x:c r="A7" s="9" t="str">
        <x:v>PMID</x:v>
      </x:c>
      <x:c r="B7" s="9" t="str">
        <x:v>Abstract</x:v>
      </x:c>
      <x:c r="C7" s="9" t="str">
        <x:v>Title</x:v>
      </x:c>
      <x:c r="D7" s="9" t="str">
        <x:v>PubMed URL</x:v>
      </x:c>
      <x:c r="E7" s="9" t="str">
        <x:v>Archived raw source</x:v>
      </x:c>
    </x:row>
    <x:row r="8" ht="165" customHeight="1">
      <x:c r="A8" s="4" t="str">
        <x:v>33273290</x:v>
      </x:c>
      <x:c r="B8" s="4" t="str">
        <x:v>BACKGROUND: Many health plans have outreach programs aimed at appropriately screening, evaluating, and treating women experiencing fragility fractures; however, few programs exist for men.
OBJECTIVE: The objective of this study was to develop, implement, and evaluate an osteoporosis outreach program for men with a recent fragility fracture and their physicians.
RESEARCH DESIGN AND SUBJECTS: A total of 10,934 male patients enrolled in a Medicare Advantage with Prescription Drug Plan with a recent fragility fracture were randomized to a program or control group. Patients and their physicians received letters followed by phone calls on osteoporosis and the importance of screening and treatment. The evaluation compared bone mineral density (BMD) test utilization and osteoporosis medication treatment (OPT) among patients who received the outreach versus no outreach at 12 months. The effect of the program was estimated through univariate and multivariable logistic regressions.
RESULTS: The program had a significant impact on BMD evaluation and OPT initiation. At 12 months, 10.7% of participants and 4.9% of nonparticipants received a BMD evaluation. The odds ratio (OR) (95% confidence interval) was 2.31 (1.94, 2.76), and the number needed to outreach to receive a BMD test was 18. OPT was initiated in 4.0% of participants and 2.5% of nonparticipants. The OR (95% confidence interval) of receiving OPT was 1.60 (1.24, 2.07), and the number needed to outreach was 69. Adjusted ORs were similar in magnitude and significance.
CONCLUSION: The program was highly effective by more than doubling the rate of BMD evaluation; however, more intensive interventions may yield an even higher screening rate.</x:v>
      </x:c>
      <x:c r="C8" s="4" t="str">
        <x:v>Evaluation of an Osteoporosis Outreach Program for Men With a Fragility Fracture and Their Physicians.</x:v>
      </x:c>
      <x:c r="D8" s="4" t="str">
        <x:v>https://pubmed.ncbi.nlm.nih.gov/33273290/</x:v>
      </x:c>
      <x:c r="E8" s="4" t="str">
        <x:v>research/review_2026-09-21/pubmed/raw/priority_metadata_003800.xml</x:v>
      </x:c>
    </x:row>
    <x:row r="9" ht="189" customHeight="1">
      <x:c r="A9" s="10" t="str">
        <x:v>34736273</x:v>
      </x:c>
      <x:c r="B9" s="10" t="str">
        <x:v>OBJECTIVE: To evaluate whether per-procedure work relative value units (RVUs) have changed over time and to compare time-based compensation for female-specific procedures compared with male-specific procedures.
METHODS: Using the National Surgical Quality Improvement Program files for 2015-2018, we compared operative time and RVUs for 12 pairs of sex-specific procedures. Procedures were matched to be anatomically and technically similar. Procedure-assigned RVUs in 2015 were compared with 1997. Procedure compensation was determined using median dollars per RVU provided in SullivanCotter's 2018 Physician Compensation and Productivity Survey. This was compared with specialty-specific McGraw-Hill per-RVU data from 1994. Statistical analysis was performed with chi-square and Kruskal-Wallis tests.
RESULTS: A total of 12,120 patients underwent 6,217 male-specific procedures and 5,903 female-specific procedures. Male-specific procedures had a median (interquartile range) RVU of 25.2 (21.4-25.2), compared with 7.5 (7.5-23.4) for female-specific procedures (P&lt;.001). Male-specific procedures were 79 minutes longer (median [interquartile range] 136 minutes [98-186] vs 57 minutes [25-125], P&lt;.001). Female-specific procedures were reimbursed at a higher hourly rate (10.6 RVU/hour [7.2-16.2] vs 9.7 RVU/hour [7.4-12.8], P&lt;.001). However, male-specific procedures were better reimbursed ($599/h [$457-790] vs $555/h [$377-843], P&lt;.001). Overall, per-procedure RVUs for male-specific surgeries have increased 13%, whereas, for female-specific surgeries, per-procedure RVUs have increased 26%. Reimbursement per RVU for male-specific procedures has decreased 8% ($67.30 to $61.65), whereas for female-specific procedures it has increased 14% ($44.50 to $52.02).
CONCLUSION: Increases in RVUs and specialty-specific compensation have resulted in more equitable reimbursement for female-specific procedures. However, even with these changes, there is a lower relative value of work, driven by specialty-specific compensation rates, for procedures performed for women-only compared with equivalent men-only procedures.</x:v>
      </x:c>
      <x:c r="C9" s="10" t="str">
        <x:v>Reimbursement for Female-Specific Compared With Male-Specific Procedures Over Time.</x:v>
      </x:c>
      <x:c r="D9" s="10" t="str">
        <x:v>https://pubmed.ncbi.nlm.nih.gov/34736273/</x:v>
      </x:c>
      <x:c r="E9" s="10" t="str">
        <x:v>research/review_2026-09-21/pubmed/raw/priority_metadata_004200.xml</x:v>
      </x:c>
    </x:row>
    <x:row r="10" ht="153" customHeight="1">
      <x:c r="A10" s="4" t="str">
        <x:v>38758183</x:v>
      </x:c>
      <x:c r="B10" s="4" t="str">
        <x:v>INTRODUCTION: We sought to determine if work relative value unit differences exist between analogous, sex-specific procedures.
METHODS: Representatives from the AUA and the American College of Obstetricians and Gynecologists independently reviewed the entire procedural code set and identified sex-specific procedures that had an analogous procedure in the opposite sex. These pairs were then evaluated and compared using current American Medical Association Relative Value Scale Update Committee methodology. Comparable code pair values were then examined to determine any systemic bias in the work relative value units assigned between the procedures. Mean differences and 95% confidence intervals were used to determine any differences in procedure or physician time values. The methodology used considered global period, intraservice time, total time, hospital days, postoperative office visits, and the date of the committee review.
RESULTS: Of the 10 directly analogous code pairs reviewed, 7 of the female procedures had higher work relative value unit differences (range 0.29-6.47), and 3 of the male procedures had higher work relative value unit differences (range 1.23-2.34). There was no statistical difference between the code pair work relative value units. The work relative value unit per minute of intraservice time and total time were not statistically different.
CONCLUSIONS: In this study, we compared operative procedures performed in women with clinically comparable operative procedures performed in men that had similar surgical approaches, global periods, and valuation methodologies. Overall, no statistical differences in work relative value units were demonstrated.</x:v>
      </x:c>
      <x:c r="C10" s="4" t="str">
        <x:v>Comparison of Work Relative Value Units Assigned to Urological and Gynecological Surgical Procedures.</x:v>
      </x:c>
      <x:c r="D10" s="4" t="str">
        <x:v>https://pubmed.ncbi.nlm.nih.gov/38758183/</x:v>
      </x:c>
      <x:c r="E10" s="4" t="str">
        <x:v>research/review_2026-09-21/pubmed/raw/priority_metadata_005400.xml</x:v>
      </x:c>
    </x:row>
    <x:row r="11" ht="261" customHeight="1">
      <x:c r="A11" s="10" t="str">
        <x:v>39046733</x:v>
      </x:c>
      <x:c r="B11" s="10" t="str">
        <x:v>IMPORTANCE: Gender inequities and limited representation are an obstacle to surgical workforce diversification. There has been limited examination of gender-based disparities in billing practices among surgeons.
OBJECTIVE: To evaluate variations in practice metrics and billing practices among female and male surgeons and identify factors associated with gender disparities in Medicare reimbursements.
DESIGN, SETTING, AND PARTICIPANTS: This retrospective cross-sectional study used publicly available Medicare Fee-for-Service Provider Utilization and Payment data from January to December 31, 2021, to identify demographics, annual services provided, and financial payments and charges for general surgeons, surgical oncologists, and colorectal surgeons. Data were analyzed from November 2023 to February 2024.
EXPOSURE: The primary exposure of interest was surgeon gender (ie, female or male).
MAIN OUTCOMES AND MEASURES: The annual total submitted charges and payments submitted in 2021 by female and male surgeons were assessed. Additionally, the total number and types of services provided each year and the number of beneficiaries treated were examined. Multivariable linear regression models were used to evaluate the association of surgeon gender with payments, number of services, and beneficiaries.
RESULTS: A total of 20 549 general surgeons (5036 [24.5%] female; 15 513 [75.5%] male), 1065 surgical oncologists (450 [42.3%] female; 615 [57.7%] male), and 1601 colorectal surgeons (432 [27.0%] female; 1169 [73.0%] male) were included. Across all surgical subspecialties, female surgeons billed fewer mean (SE) Medicare charges (general surgeons: 30.1% difference; $224 934.80 [$3846.97] vs $321 868.50 [$3933.57]; surgical oncologists: 27.5% difference; $277 901.70 [$22 857.37] vs $382 882.90 [$19 566.06]; colorectal surgeons: 21.7% difference; $274 091.70 [$10 468.48] vs $350 146.10 [$8741.66]; all P &lt; .001) and received significantly lower mean (SE) reimbursements (general surgeons: 29.0% difference; $51 787.61 [$917.91] vs $72 903.12 [$890.35]; surgical oncologists: 23.6% difference; $57 945.18 [$3853.28] vs $75 778.22 [$2622.75]; colorectal surgeons: 24.5% difference; $63 117.01 [$2248.10] vs $83 598.53 [$1934.77]; all P &lt; .001). On multivariable analysis, a reimbursement gap remained across all 3 surgical subspecialties (general surgeons: -$14 963.46 [95% CI, -$18 822.27 to -$11 104.64] [P &lt; .001]; surgical oncologists: -$8354.69 [95% CI, -$15 018.12 to -$1691.25] [P = .01]; colorectal surgeons: -$4346.73 [95% CI, -$7660.15 to -$1033.32] [P = .01]).
CONCLUSIONS AND RELEVANCE: In this cross-sectional study, there was considerable gender-based variation in practice patterns and reimbursement among different surgical subspecialties serving the Medicare population. Differences in mean payment per service were associated with variations in billing and coding strategies among female and male surgeons.</x:v>
      </x:c>
      <x:c r="C11" s="10" t="str">
        <x:v>Gender-Based Variations in Medicare Reimbursements Among Different Surgical Subspecialties.</x:v>
      </x:c>
      <x:c r="D11" s="10" t="str">
        <x:v>https://pubmed.ncbi.nlm.nih.gov/39046733/</x:v>
      </x:c>
      <x:c r="E11" s="10" t="str">
        <x:v>research/review_2026-09-21/pubmed/raw/priority_metadata_005600.xml</x:v>
      </x:c>
    </x:row>
    <x:row r="12" ht="165" customHeight="1">
      <x:c r="A12" s="4" t="str">
        <x:v>39978776</x:v>
      </x:c>
      <x:c r="B12" s="4" t="str">
        <x:v>Background: Gender bias is a pervasive issue in health care, contributing to poorer health outcomes for women compared with men. In the United States, studies have shown a slowly improving, but persistent, disparity exists for gender-specific procedures' relative value units (RVUs). This study aims to build on existing literature and conduct a large-scale analysis examining comparable gender-specific surgical procedures to determine whether there remains a disparity in RVUs/reimbursements for care provided to female patients. Methods: Using 110 CPT codes, we compared work RVU and reimbursement rates for facility and nonfacility procedures within the 2023 dataset for anatomically similar gender-specific procedures, verified by a group of gynecologists and urologists. We analyzed the procedures over a 20-year period with RVUs from 2003 to 2023 to determine how the difference between the gender-specific procedures was changing over time. We also used the same design and 22 current procedural terminology (CPT) codes as Goff (1997) and Benoit (2015) to compare RVUs between 1997, 2015, and 2023. Results: For the 55 gender-specific procedures, 41 (75%) had lower RVUs for procedures on female patients in 2023. RVUs for procedures on male patients were 30% higher on average. For facility reimbursement, 35 (64%) were higher for procedures on male patients-with a 25.6% higher reimbursement on average, correlating to an average reimbursement of $75.73 more for male procedures. For nonfacility reimbursements, male procedures were reimbursed 20% higher on average. Between 2003 and 2023, there were no statistically significant improvements in the reimbursement disparities for male versus female procedures, with male procedures consistently having an average RVU 31-34% higher. The disparity narrowed minimally between 1997, 2015, and 2023. Conclusion: There remain significant disparities between gender-specific procedures, with lower RVUs/reimbursements for procedures on female patients and minimal change over the past three decades. Addressing these disparities is crucial for achieving gender equity in health care and ensuring equally valued medical services.</x:v>
      </x:c>
      <x:c r="C12" s="4" t="str">
        <x:v>Price and Prejudice: Reimbursement of Surgical Care on Male Versus Female Anatomies.</x:v>
      </x:c>
      <x:c r="D12" s="4" t="str">
        <x:v>https://pubmed.ncbi.nlm.nih.gov/39978776/</x:v>
      </x:c>
      <x:c r="E12" s="4" t="str">
        <x:v>research/review_2026-09-21/pubmed/raw/priority_metadata_005800.xml</x:v>
      </x:c>
    </x:row>
    <x:row r="13" ht="273" customHeight="1">
      <x:c r="A13" s="10" t="str">
        <x:v>40560583</x:v>
      </x:c>
      <x:c r="B13" s="10" t="str">
        <x:v>IMPORTANCE: Medicare is the primary health insurance payer for 1.5 million reproductive-aged women with disabilities, yet it is the only major form of US health insurance that is not required to cover contraceptives for pregnancy prevention.
OBJECTIVE: To evaluate whether Medicare's contraceptive coverage gaps were associated with reduced use of contraceptives by enrollees with disabilities.
DESIGN, SETTING, AND PARTICIPANTS: In this national, cross-sectional study, traditional Medicare (TM), Medicare Advantage (MA), and Medicaid claims from female enrollees aged 20 to 49 years receiving Social Security Disability Insurance or Supplemental Security Income from January 1, 2016, to December 31, 2020, were linked. The propensity score-weighted probability of contraceptive use by public insurance type was estimated, then the association between gaining contraceptive coverage through a transition from Medicare to dual Medicare-Medicaid enrollment and contraceptive use was evaluated using a staggered-entry difference-in-differences design. Data were analyzed from December 3, 2024, to April 5, 2025.
EXPOSURES: Public insurance enrollment in TM, MA, dual TM-Medicaid, dual MA-Medicaid, or Medicaid.
MAIN OUTCOMES AND MEASURES: Monthly use of permanent contraceptives, long-acting reversible contraceptives (intrauterine device and implant), and short-acting contraceptives (injectable and oral contraceptives, patch, and ring).
RESULTS: A total of 51 501 303 monthly observations from 1 606 129 women were included in the analysis. Mean (SD) age was 35.93 (8.58) years; 1.8% of monthly observations were from Asian women, 30.7% from Black women, 13.0% from Hispanic women, 52.6% from White women, and 1.9% from multiracial women or women identifying as another race and ethnicity not reported on previously. Those enrolled in TM and MA were more often older and non-Hispanic White compared with those dual enrolled or enrolled in Medicaid. The estimated monthly probability of use of any contraceptive method was lowest among TM (4.9%; 95% CI, 4.9%-4.9%) and MA (6.6%; 95% CI, 6.5%-6.6%) enrollees, followed by Medicaid (11.0%; 95% CI, 11.0%-11.0%), dual MA-Medicaid (11.3%; 95% CI, 11.3%-11.4%), and dual TM-Medicaid (13.1%; 95% CI, 13.0%-13.1%) enrollees. Gaining contraceptive coverage through dual enrollment was associated with an increase of 3.9 (95% CI, 3.5-4.3) percentage points (35%) in use of any contraceptive method, with the largest increase in use of short-acting methods at 2.6 (95% CI, 2.3-3.0) percentage points (45%).
CONCLUSIONS AND RELEVANCE: In this cross-sectional study of contraceptive use in the Medicare program, gaining contraceptive coverage through dual Medicare-Medicaid enrollment was associated with increased contraceptive use among disabled Medicare enrollees, suggesting that Medicare's coverage gaps pose a financial barrier to desired contraceptive use. Given these findings, Medicare should be required to cover all US Food and Drug Administration-approved contraceptive methods without cost-sharing. Doing so would align Medicare's coverage requirements with those of Medicaid, private insurance plans, and TRICARE.</x:v>
      </x:c>
      <x:c r="C13" s="10" t="str">
        <x:v>Coverage Gaps and Contraceptive Use Among Medicare Enrollees With Disabilities.</x:v>
      </x:c>
      <x:c r="D13" s="10" t="str">
        <x:v>https://pubmed.ncbi.nlm.nih.gov/40560583/</x:v>
      </x:c>
      <x:c r="E13" s="10" t="str">
        <x:v>research/review_2026-09-21/pubmed/raw/priority_metadata_006000.xml</x:v>
      </x:c>
    </x:row>
    <x:row r="14" ht="165" customHeight="1">
      <x:c r="A14" s="4" t="str">
        <x:v>24641912</x:v>
      </x:c>
      <x:c r="B14" s="4" t="str">
        <x:v>PURPOSE: Many guidelines suggest earlier screening for prostate cancer in men at high risk, with risk defined in terms of race and family history. Recent evidence suggests that baseline prostate specific antigen is strongly predictive of the long-term risk of aggressive prostate cancer. We compared the usefulness of risk stratifying early screening by race, family history and prostate specific antigen at age 45 years.
MATERIALS AND METHODS: Using estimates from the literature we calculated the proportion of men targeted for early screening using family history, black race or prostate specific antigen as the criterion for high risk. We calculated the proportion of prostate cancer deaths that would occur in those men by age 75 years.
RESULTS: Screening based on family history involved 10% of men, accounting for 14% of prostate cancer deaths. Using black race as a risk criterion involved 13% of men, accounting for 28% of deaths. In contrast, 44% of prostate cancer deaths occurred in the 10% of men with the highest prostate specific antigen at age 45 years. In no sensitivity analysis for race and family history did the ratio of risk group size to number of prostate cancer deaths in that risk group approach that of prostate specific antigen.
CONCLUSIONS: Basing decisions for early screening on prostate specific antigen at age 45 years provided the best ratio between men screened and potential cancer deaths avoided. Given the lack of evidence that race or family history affects the relationship between prostate specific antigen and risk, prostate specific antigen based risk stratification would likely include any black men or men with a family history who are destined to experience aggressive disease. Differential screening based on risk should be informed by baseline prostate specific antigen.</x:v>
      </x:c>
      <x:c r="C14" s="4" t="str">
        <x:v>Relative value of race, family history and prostate specific antigen as indications for early initiation of prostate cancer screening.</x:v>
      </x:c>
      <x:c r="D14" s="4" t="str">
        <x:v>https://pubmed.ncbi.nlm.nih.gov/24641912/</x:v>
      </x:c>
      <x:c r="E14" s="4" t="str">
        <x:v>research/review_2026-09-21/pubmed/raw/priority_metadata_001800.xml</x:v>
      </x:c>
    </x:row>
    <x:row r="15" ht="129" customHeight="1">
      <x:c r="A15" s="10" t="str">
        <x:v>32890040</x:v>
      </x:c>
      <x:c r="B15" s="10" t="str">
        <x:v>The purpose of this article is to describe this use of relative value units (RVUs) among nurse practitioners (NP), including the challenges NPs may experience. Relative value units were developed as a means to determine reimbursement for health care based on time spent with the patient and skills required to complete the interaction, while addressing any disparities of reimbursement based on geography or insurance. Increasingly, providers such as NPs are being evaluated based in large part on how many RVUs they generate, which seems to prioritize productivity and may overlook many nonbillable aspects of the NP role such as emotional support or patient education. Nurse practitioners working in settings that require more invasive procedures may seem to be more productive on paper, regardless of the number of patients seen. Relative value units may not adequately reflect the skill and time taken to care for patients with chronic illness. Gender differences have been noted, both in terms of the number of RVUs generated for care of male or female patients, and those generated by male or female providers. If NPs are evaluated primarily based on productivity as measured by RVUs, we must consider how this might minimize or even invalidate the therapeutic relationship and holistic approach to patient care. Relative value units may negatively affect the willingness of NPs to serve as preceptors. Finally, as NPs experience less face-to-face time with patients and more demands for productivity, there may be a loss of quality care and professional integrity, which raises the risk of burnout among NPs.</x:v>
      </x:c>
      <x:c r="C15" s="10" t="str">
        <x:v>Relative value units in health care: Friend, foe, or necessary evil?</x:v>
      </x:c>
      <x:c r="D15" s="10" t="str">
        <x:v>https://pubmed.ncbi.nlm.nih.gov/32890040/</x:v>
      </x:c>
      <x:c r="E15" s="10" t="str">
        <x:v>research/review_2026-09-21/pubmed/raw/priority_metadata_003800.xml</x:v>
      </x:c>
    </x:row>
    <x:row r="16" ht="141" customHeight="1">
      <x:c r="A16" s="4" t="str">
        <x:v>8309263</x:v>
      </x:c>
      <x:c r="B16" s="4" t="str">
        <x:v>OBJECTIVE: In this study, we reviewed the comparative effectiveness of transdermal and oral estrogen therapy in various groups of women.
DESIGN: On the basis of published data and personal clinical experience, we compiled recommendations for use of the various modes of estrogen replacement therapy.
MATERIAL AND METHODS: The use of injectable estrogen or implantable estrogen pellets can no longer be recommended because of their expense, inconvenience, and unphysiologic pattern of serum estrogen response. The two main estrogen preparations currently used in the United States--orally administered conjugated estrogens and transdermally administered estradiol--undergo different metabolism, and these processes are reflected in differing levels of circulating hormones and hepatic by-products, including blood clotting factors, binding proteins, renin substrate, and apolipoproteins, and in varied composition of the bile.
RESULTS: At least theoretically, transdermal estrogen therapy might be more beneficial than oral estrogen therapy for women who smoke cigarettes or who have migraine headaches, hypertriglyceridemia, hepatobiliary disorders, fibrocystic breast disease, or a history of thromboembolism. In contrast, women with hypercholesterolemia might respond better to oral than to transdermal estrogen therapy.
CONCLUSION: Additional properly designed clinical studies are necessary before these recommendations for estrogen replacement therapy can be validated or refuted.</x:v>
      </x:c>
      <x:c r="C16" s="4" t="str">
        <x:v>Relative value of transdermal and oral estrogen therapy in various clinical situations.</x:v>
      </x:c>
      <x:c r="D16" s="4" t="str">
        <x:v>https://pubmed.ncbi.nlm.nih.gov/8309263/</x:v>
      </x:c>
      <x:c r="E16" s="4" t="str">
        <x:v>research/review_2026-09-21/pubmed/raw/priority_metadata_000000.xml</x:v>
      </x:c>
    </x:row>
    <x:row r="17" ht="165" customHeight="1">
      <x:c r="A17" s="10" t="str">
        <x:v>9815844</x:v>
      </x:c>
      <x:c r="B17" s="10" t="str">
        <x:v>The purpose of this study was to correlate physical examination and sonographic and mammographic measurements of breast tumors and regional lymph nodes with pathological findings and to evaluate the effect of neoadjuvant chemotherapy on clinical Tumor-Node-Metastasis stage by noninvasive methods. This was a retrospective analysis of 100 patients with locally advanced breast cancer registered and treated in prospective trials of neoadjuvant chemotherapy. All patients received four cycles of a doxorubicin-containing regimen and had noninvasive evaluation of the primary tumor and regional lymph nodes before and after neoadjuvant chemotherapy by physical examination, sonography, and mammography and underwent breast surgery and axillary dissection within 5 weeks after completion of neoadjuvant chemotherapy. The correlations between clinical and pathological measurements were determined by Spearman rank correlation analysis. A proportional odds model was used to examine predictive values. Eighty-three patients had both a clinically detectable primary tumor and lymph node metastases. Sixty-four patients had a decrease in Tumor-Node-Metastasis stage after chemotherapy. For 54% of patients, there was concordance in clinical response between the primary tumor and lymph node compartment; for the rest, results were discordant. Physical examination correlated best with pathological findings in the measurement of the primary tumor (P = 0.0003), whereas sonography was the most accurate predictor of size for axillary lymph nodes (P = 0.0005). The combination of physical examination and mammography worked best for assessment of the primary tumor (P = 0.003), whereas combining physical examination with sonography gave optimal evaluation of regional lymph nodes (P = 0.0001). In conclusion, physical examination is the best noninvasive predictor of the real size of locally advanced primary breast cancer, whereas sonography correlates better with the real dimensions of axillary lymph nodes. The combination of physical examination with either mammography or sonography significantly improves the accuracy of noninvasive assessment of tumor dimensions.</x:v>
      </x:c>
      <x:c r="C17" s="10" t="str">
        <x:v>Relative value of physical examination, mammography, and breast sonography in evaluating the size of the primary tumor and regional lymph node metastases in women receiving neoadjuvant chemotherapy for locally advanced breast carcinoma.</x:v>
      </x:c>
      <x:c r="D17" s="10" t="str">
        <x:v>https://pubmed.ncbi.nlm.nih.gov/9815844/</x:v>
      </x:c>
      <x:c r="E17" s="10" t="str">
        <x:v>research/review_2026-09-21/pubmed/raw/priority_metadata_000200.xml</x:v>
      </x:c>
    </x:row>
    <x:row r="18" ht="165" customHeight="1">
      <x:c r="A18" s="4" t="str">
        <x:v>8598949</x:v>
      </x:c>
      <x:c r="B18" s="4" t="str">
        <x:v>OBJECTIVE: To compare the relative value of work and reimbursement by the resource-based relative value scale (RBRVS) and the charge-based McGraw-Hill relative value scale for invasive services performed for women only (obstetric-gynecologic), for men only (urology), and in a gender-neutral specialty (general surgery).
METHODS: Two hundred nineteen obstetric-gynecologic, 125 urology, and 105 general surgery invasive procedures were compared by the mean for each specialty of 1) the ratio of the procedure-specific work component of the RBRVS unit to the total relative value unit, and 2) the ratio of the procedure-specific total RBRVS unit to the McGraw-Hill relative value unit. All procedures were weighted equally. Ratios are reported as percentages. Statistics were compared by analysis of variance with Newman-Keuls test for multiple pairwise comparisons when significant differences were identified. Statistically significant differences were defined as P &lt; .05.
RESULTS: The mean percentage of the procedure-specific work component of the RBRVS unit to the total relative value unit and the total RBRVS unit to the McGraw-Hill unit were significantly lower (P &lt; .01 for all comparisons) for obstetric-gynecologic (49.7 and 139.5) than for urology (55.1 and 207.1) or general surgery services (53.2 and 181.0). There were no significant differences between urology and general surgery services among the procedures studied.
CONCLUSION: The data support a lower relative value of work and reimbursement for services performed for women only. This may be the result of 1) high initial estimates of work for urology and general surgery services, 2) low initial estimates of work for obstetric-gynecologic services, or 3) a carry-over of reimbursement bias from the charge-based environment to the RBRVS by the methods used in its development.</x:v>
      </x:c>
      <x:c r="C18" s="4" t="str">
        <x:v>Underreimbursement of obstetric and gynecologic invasive services by the resource-based relative value scale.</x:v>
      </x:c>
      <x:c r="D18" s="4" t="str">
        <x:v>https://pubmed.ncbi.nlm.nih.gov/8598949/</x:v>
      </x:c>
      <x:c r="E18" s="4" t="str">
        <x:v>research/review_2026-09-21/pubmed/raw/priority_metadata_000200.xml</x:v>
      </x:c>
    </x:row>
    <x:row r="19" ht="141" customHeight="1">
      <x:c r="A19" s="10" t="str">
        <x:v>33375989</x:v>
      </x:c>
      <x:c r="B19" s="10" t="str">
        <x:v>OBJECTIVE: To evaluate total and out-of-pocket costs for poly(ADP-ribose) polymerase (PARP) inhibitors and differences based on insurance characteristics.
METHODS: We identified ovarian cancer patients who were prescribed niraparib, olaparib, or rucaparib from the MarketScan (2014-2017) and Surveillance, Epidemiology, and End Results (SEER)-Medicare (2014-2016) databases. Drug costs were estimated for a 30-day supply. Descriptive statistics and Wilcoxon rank sum tests were performed.
RESULTS: 590 commercially insured beneficiaries from MarketScan and 213 SEER-Medicare beneficiaries were prescribed PARP inhibitors for a median 112 days. For commercially insured beneficiaries, median total cost was $13,342 (IQR $12,022-$14,256). Median out-of-pocket cost was $44 (IQR $0-$120) and PARP inhibitors accounted for a median 90.8% of patients' total out-of-pocket drug spending. High-deductible health plan was not associated with higher out-of-pocket costs (N = 570; median $0 vs. $45, P = 0.87). For SEER-Medicare beneficiaries, median total cost was $12,798 (IQR $11,704-$13,180). Median out-of-pocket cost was $370 (IQR $2-$1234) and PARP inhibitors accounted for a median 99.0% of patients' total out-of-pocket drug spending. Out-of-pocket costs were lower for dual-eligible patients with supplemental Medicaid prescription coverage (N = 209; median $1 vs. $911, P &lt; 0.001).
CONCLUSIONS: Although insurers are responsible for a large proportion of PARP inhibitor costs, out-of-pocket costs for PARP inhibitors account for a majority of patients' drug spending. SEER-Medicare beneficiaries had higher out-of-pocket costs than patients with commercial insurance, which was offset for those with supplemental Medicaid prescription coverage.</x:v>
      </x:c>
      <x:c r="C19" s="10" t="str">
        <x:v>Total and out-of-pocket costs for PARP inhibitors among insured ovarian cancer patients.</x:v>
      </x:c>
      <x:c r="D19" s="10" t="str">
        <x:v>https://pubmed.ncbi.nlm.nih.gov/33375989/</x:v>
      </x:c>
      <x:c r="E19" s="10" t="str">
        <x:v>research/review_2026-09-21/pubmed/raw/priority_metadata_004000.xml</x:v>
      </x:c>
    </x:row>
    <x:row r="20" ht="141" customHeight="1">
      <x:c r="A20" s="4" t="str">
        <x:v>32473266</x:v>
      </x:c>
      <x:c r="B20" s="4" t="str">
        <x:v>Since 2011, the Affordable Care Act (ACA) requires the provision of certain recommended clinical preventive services without cost-sharing for individuals in Medicare. We re-visited the effects of the ACA on preventive services utilization under Medicare, using data from the Medical Expenditure Panel Survey (MEPS) and examined the ACA's longer-term effects on preventive services utilization among Medicare beneficiaries. We analyzed nationally representative data on non-institutionalized Medicare beneficiaries (n = 27,124) from the 2006-2010 and 2012-2016 Medical Expenditure Panel Survey. Preventive services of interest were cholesterol test, blood pressure test, flu shot, endoscopy, blood stool test, clinical breast exam, mammography and prostate exam. We estimated propensity score weighted difference-in-difference (DID) models to test for differences in preventive services utilization based on Medicare insurance status. Nationwide, among beneficiaries with traditional Medicare only, who stood to gain the most from eliminating cost-sharing for preventive services, the percentage of women receiving clinical breast exams rose post-reform (Δ = 8.1%; p &lt; 0.015) as compared to Medicare beneficiaries with supplemental private coverage, while at the same time the percentage receiving other preventive services did not change post-reform (all p &gt; 0.05). Based on this analysis of MEPS data spanning 2006-2016, the ACA's enhancement of Medicare coverage had only modest effects on the percentage of beneficiaries receiving a range of preventive services. Medicare beneficiaries should be better informed of the availability of these services and encouraged by their physicians to avail the no cost-sharing incentive of these reforms.</x:v>
      </x:c>
      <x:c r="C20" s="4" t="str">
        <x:v>Effects of the Affordable Care Act's enhancement of Medicare benefits on preventive services utilization among older adults in the U.S.</x:v>
      </x:c>
      <x:c r="D20" s="4" t="str">
        <x:v>https://pubmed.ncbi.nlm.nih.gov/32473266/</x:v>
      </x:c>
      <x:c r="E20" s="4" t="str">
        <x:v>research/review_2026-09-21/pubmed/raw/priority_metadata_003600.xml</x:v>
      </x:c>
    </x:row>
    <x:row r="21" ht="237" customHeight="1">
      <x:c r="A21" s="10" t="str">
        <x:v>37234016</x:v>
      </x:c>
      <x:c r="B21" s="10" t="str">
        <x:v>IMPORTANCE: Little is known about how out-of-pocket burden differs between Medicare and commercial insurance for ultra-expensive drugs.
OBJECTIVE: To investigate out-of-pocket spending for ultra-expensive drugs in the Medicare Part D program vs commercial insurance.
DESIGN, SETTING, AND PARTICIPANTS: This was a retrospective, population-based cohort study of individuals using ultra-expensive drugs included in a 20% nationally random sample of prescription drug claims from Medicare Part D and individuals aged 45 to 64 years using ultra-expensive drugs included in a large national convenience sample of outpatient pharmaceutical claims from commercial insurance plans. Claims data from 2013 through 2019 were used, and data were analyzed in February 2023.
MAIN OUTCOMES AND MEASURES: Claims-weighted mean out-of-pocket spending per beneficiary per drug by insurance type, plan, and age.
RESULTS: In 2019, 37 324 and 24 159 individuals using ultra-expensive drugs were identified in the 20% Part D and commercial samples, respectively (mean [SD] age, 66.2 [11.7] years; 54.9% female). A statistically significant higher share of commercial enrollees vs Part D beneficiaries were female (61.0% vs 51.0%; P &lt; .001), and a statistically significantly lower share were using 3 or more branded medications (28.7% vs 42.6%; P &lt; .001). Mean out-of-pocket spending per beneficiary per drug in 2019 was $4478 in Part D (median [IQR], $4169 [$3369-$5947]) compared with $1821 for commercial (median [IQR], $1272 [$703-$1924]); these differences were statistically significant every year. Differences in out-of-pocket spending comparing commercial enrollees aged 60 to 64 years and Part D beneficiaries aged 65 to 69 years exhibited similar magnitudes and trends. By plan, mean out-of-pocket spending per beneficiary per drug in 2019 was $4301 (median [IQR], $4131 [$3000-$6048]) in Medicare Advantage prescription drug (MAPD) plans, $4575 (median [IQR], $4190 [$3305-$5799]) in stand-alone prescription drug plans (PDPs), $1208 (median [IQR], $752 [$317-$1240]) in health maintenance organization plans, $1569 (median [IQR], $838 [$481-$1472]) in preferred provider organization plans, and $4077 (median [IQR], $2882 [$1075-$4226]) in high-deductible health plans. There were no statistically significant differences between MAPD plans and stand-alone PDPs in any study year. Mean out-of-pocket spending was statistically significantly higher in MAPD plans compared with health maintenance organization plans and in stand-alone PDPs compared with preferred provider organization plans in each study year.
CONCLUSIONS AND RELEVANCE: This cohort study demonstrated that the $2000 out-of-pocket cap included in the Inflation Reduction Act may substantially moderate the potential increase in spending faced by individuals who use ultra-expensive drugs when moving from commercial insurance to Part D coverage.</x:v>
      </x:c>
      <x:c r="C21" s="10" t="str">
        <x:v>Comparison of Out-of-Pocket Spending on Ultra-Expensive Drugs in Medicare Part D vs Commercial Insurance.</x:v>
      </x:c>
      <x:c r="D21" s="10" t="str">
        <x:v>https://pubmed.ncbi.nlm.nih.gov/37234016/</x:v>
      </x:c>
      <x:c r="E21" s="10" t="str">
        <x:v>research/review_2026-09-21/pubmed/raw/priority_metadata_005000.xml</x:v>
      </x:c>
    </x:row>
    <x:row r="22" ht="165" customHeight="1">
      <x:c r="A22" s="4" t="str">
        <x:v>37145467</x:v>
      </x:c>
      <x:c r="B22" s="4" t="str">
        <x:v>INTRODUCTION: Following passage of the Affordable Care Act, Medicaid access was expanded in several states beginning in 2014. We sought to determine the oncologic implications by comparing outcomes between testicular germ cell tumor patients with Medicaid and those without insurance, and by assessing for changes in outcomes after 2014.
METHODS: A total of 18,506 men with seminomatous or nonseminomatous germ cell tumors were identified within the Surveillance, Epidemiology, and End Results database (2007-2016). Multivariable Cox proportional hazards, Fine and Gray competing-risks regression, propensity score matching, cumulative incidence plots and segmented Poisson regression models were used.
RESULTS: Compared to no insurance, Medicaid insurance was not associated with differences in all-cause mortality or cancer-specific mortality among seminoma patients (all-cause mortality: HR=1.24, p=0.87; cancer-specific mortality: HR=0.92, p=0.75) or nonseminoma patients (all-cause mortality: HR=1.13, p=0.33; cancer-specific mortality: HR=1.10, p=0.51). Among matched Medicaid and uninsured patients, there was again no difference in cancer-specific mortality for those with seminoma (p=0.81) or nonseminoma (p=0.23). There was a 99% increase in Medicaid enrollment in expansion states in the post-Affordable Care Act era. There was no difference in post-expansion all-cause mortality between expansion states and nonexpansion states for men with seminoma (p=0.42) or nonseminoma (p=0.53).
CONCLUSIONS: Medicaid enrollment increased in expansion states following the Affordable Care Act. However, there was no difference in survival between Medicaid patients and uninsured patients, or between patients in expansion states versus nonexpansion states, highlighting the need for population-level policy interventions to improve access and quality of care among testicular cancer patients with Medicaid.</x:v>
      </x:c>
      <x:c r="C22" s="4" t="str">
        <x:v>The Association of Medicaid Insurance and Affordable Care Act Expansions with Survival among Patients with Testicular Cancer.</x:v>
      </x:c>
      <x:c r="D22" s="4" t="str">
        <x:v>https://pubmed.ncbi.nlm.nih.gov/37145467/</x:v>
      </x:c>
      <x:c r="E22" s="4" t="str">
        <x:v>research/review_2026-09-21/pubmed/raw/priority_metadata_005000.xml</x:v>
      </x:c>
    </x:row>
    <x:row r="23" ht="237" customHeight="1">
      <x:c r="A23" s="10" t="str">
        <x:v>33001201</x:v>
      </x:c>
      <x:c r="B23" s="10" t="str">
        <x:v>IMPORTANCE: Medicaid expansion is associated with increased access to health services, increased quality of medical care delivered, and reduced mortality, but little is known about its association with use of long-term care.
OBJECTIVE: To examine the association of Medicaid expansion under the Patient Protection and Affordable Care Act (ACA) with long-term care use among newly eligible low-income adults and among older adults whose eligibility did not change.
DESIGN, SETTING, AND PARTICIPANTS: This difference-in-difference cohort study used data from the Health and Retirement Study, a nationally representative longitudinal survey of persons 50 years or older. Long-term care use from 2008 to 2012 was compared with use from 2014 to 2016 among low-income adults aged 50 to 64 years without Medicare coverage residing in states in which Medicaid coverage expanded in 2014 and those living in states without expansion. Low-income adults who were covered by Medicare and were ineligible for expanded Medicaid were also included in the analysis. Data were analyzed from January 15, 2018, to December 31, 2019.
EXPOSURES: Residence in a state with Medicaid expansion in 2014.
MAIN OUTCOMES AND MEASURES: Any home health care use or any nursing home use in 2014 or 2016. All estimates are weighted to account for the Health and Retirement Study sampling design.
RESULTS: Among the 891 individuals likely eligible for expanded Medicaid, the mean (SD) age was 55.2 (3.1) years; 534 (53.4%) were women, 482 (49.5%) were married, and 661 (45.9%) were White non-Hispanic. Before the ACA-funded Medicaid expansion, 0.4% (95% CI, -0.3% to 1.1%) in expansion states and 1.0% (95% CI, -0.1% to 2.2%) in nonexpansion states used nursing homes, and 1.9% (95% CI, 0.4%-3.4%) in expansion states and 7.1% (95% CI, 4.7%-9.5%) in nonexpansion states used any formal home care. The ACA-funded Medicaid expansion was associated with an increase of 4.4 percentage points (95% CI, 2.8-6.1 percentage points) in the probability of any long-term care use among low-income, middle-aged adults, with increases in home health use (3.8 percentage points; 95% CI, 2.0-5.6 percentage points) and in any nursing home use (2.1 percentage points; 95% CI, 0.9-3.3 percentage points).
CONCLUSIONS AND RELEVANCE: In this study, ACA-funded Medicaid expansion was associated with an increase in any long-term care use among newly eligible low-income, middle-aged adults, suggesting that the population covered by the Medicaid expansion may have had unmet long-term care needs before expansion.</x:v>
      </x:c>
      <x:c r="C23" s="10" t="str">
        <x:v>Association of Medicaid Expansion Under the Patient Protection and Affordable Care Act With Use of Long-term Care.</x:v>
      </x:c>
      <x:c r="D23" s="10" t="str">
        <x:v>https://pubmed.ncbi.nlm.nih.gov/33001201/</x:v>
      </x:c>
      <x:c r="E23" s="10" t="str">
        <x:v>research/review_2026-09-21/pubmed/raw/priority_metadata_003800.xml</x:v>
      </x:c>
    </x:row>
    <x:row r="24" ht="153" customHeight="1">
      <x:c r="A24" s="4" t="str">
        <x:v>18422950</x:v>
      </x:c>
      <x:c r="B24" s="4" t="str">
        <x:v>OBJECTIVES: To examine recent trends in discharge disposition after hospitalization for hip fracture.
DESIGN: Retrospective observational study using data from the 5% random sample of Medicare claims data from 2001 to 2005 that the Centers for Medicare and Medicaid Services makes available for research purposes.
SETTING: Inpatient medical rehabilitation pre- and postimplementation of prospective payment (2001-2005).
PARTICIPANTS: Forty-four thousand six hundred eighty-four Medicare patients.
MEASURES: Postacute discharge setting (home, inpatient rehabilitation, skilled nursing facility, and long-term care nursing home/hospital/hospice).
RESULTS: Bivariate analyses showed that discharge from acute care to inpatient rehabilitation increased from 12.2% in 2001 to 23.9% in 2005. The odds of discharge to inpatient medical rehabilitation were 2.26 (95% confidence interval=2.09-2.45) greater in 2005 than in 2001 after adjustment for patient characteristics (age, sex, and race or ethnicity), admitting diagnoses, type of treatment (internal fixation vs arthroplasty), and length of stay.
CONCLUSION: The move from fee for service to prospective payment for postacute services for persons with hip fracture was associated with greater use of inpatient medical rehabilitation. Further research is necessary to confirm the trend in discharge setting and determine whether it is related to changes in reimbursement for postacute care.</x:v>
      </x:c>
      <x:c r="C24" s="4" t="str">
        <x:v>Discharge setting for patients with hip fracture: trends from 2001 to 2005.</x:v>
      </x:c>
      <x:c r="D24" s="4" t="str">
        <x:v>https://pubmed.ncbi.nlm.nih.gov/18422950/</x:v>
      </x:c>
      <x:c r="E24" s="4" t="str">
        <x:v>research/review_2026-09-21/pubmed/raw/priority_metadata_001000.xml</x:v>
      </x:c>
    </x:row>
    <x:row r="25" ht="165" customHeight="1">
      <x:c r="A25" s="10" t="str">
        <x:v>23660182</x:v>
      </x:c>
      <x:c r="B25" s="10" t="str">
        <x:v>BACKGROUND AND OBJECTIVES: Patients with ESRD experience a fivefold higher incidence of hip fracture than the age- and sex-matched general population. Despite multiple changes in the treatment of CKD mineral bone disorder, little is known about long-term trends in hip fracture incidence, treatment patterns, and outcomes in patients on dialysis.
DESIGN, SETTING, PARTICIPANTS, &amp; MEASUREMENTS: Fourteen annual cohorts (1996-2009) of older patients (≥67 years) initiating dialysis in the United States were studied. Eligible patients had Medicare fee-for-service coverage for ≥2 years before dialysis initiation and were followed for ≤3 years for a first hip fracture. Type of treatment (internal fixation or partial or total hip replacement) was ascertained along with 30-day mortality. Cox and modified Poisson regressions were used to describe trends in study outcomes.
RESULTS: This study followed 409,040 patients over 607,059 person-years, during which time 17,887 hip fracture events were recorded (29.3 events/1000 person-years). Compared with patients incident for ESRD in 1996, adjusted hip fracture rates increased until the 2004 cohort (+41%) and declined thereafter. Surgical treatment included internal fixation in 56%, partial hip replacement in 29%, and total hip replacement in 2%, which remained essentially unchanged over time; 30-day mortality after hip fracture declined from 20% (1996) to 16% (2009).
CONCLUSIONS: Hip fracture incidence rates remain higher today than in patients reaching ESRD in 1996, despite multiple purported improvements in the management of CKD mineral bone disorder. Although recent declines in incidence and steady declines in associated short-term mortality are encouraging, hip fractures remain among the most common and consequential noncardiovascular complications of ESRD.</x:v>
      </x:c>
      <x:c r="C25" s="10" t="str">
        <x:v>Temporal trends in the incidence, treatment, and outcomes of hip fracture in older patients initiating dialysis in the United States.</x:v>
      </x:c>
      <x:c r="D25" s="10" t="str">
        <x:v>https://pubmed.ncbi.nlm.nih.gov/23660182/</x:v>
      </x:c>
      <x:c r="E25" s="10" t="str">
        <x:v>research/review_2026-09-21/pubmed/raw/priority_metadata_001600.xml</x:v>
      </x:c>
    </x:row>
    <x:row r="26" ht="117" customHeight="1">
      <x:c r="A26" s="4" t="str">
        <x:v>24458966</x:v>
      </x:c>
      <x:c r="B26" s="4" t="str">
        <x:v>Veterans hospitalized for hip fracture repair may be discharged to one of several rehabilitation settings, but it is not known what factors influence postsurgical discharge setting. The purpose of the study was to examine the patient, facility, and market factors that influence the choice of postsurgical discharge setting. Using a retrospective cohort design, we linked 11,083 veterans who had hip fracture surgeries in a Department of Veterans Affairs (VA) hospital from 1998 to 2005 as assessed by the VA National Surgical Quality Improvement Program dataset with administrative data. The factors associated with five postdischarge settings were analyzed using multinomial logistic regression. We found that few veterans (0.8%) hospitalized for hip fracture were discharged with home health. Higher proportions of veterans were discharged to a nursing home (15.4%), to outpatient rehabilitation (18.8%), to inpatient rehabilitation (16.9%), or to home (48.2%). Patients were more likely to be discharged to nonhome settings for VA-provided rehabilitation if they had total function dependence, had American Society of Anesthesiologists class 4 or 5, had surgical complications prior to discharge, or lived in counties with lower nursing home bed occupancy rates. Future research should compare postsurgical and longer-term morbidity, mortality, and healthcare utilization across these rehabilitation settings.</x:v>
      </x:c>
      <x:c r="C26" s="4" t="str">
        <x:v>Determinants of postsurgical discharge setting for male hip fracture patients.</x:v>
      </x:c>
      <x:c r="D26" s="4" t="str">
        <x:v>https://pubmed.ncbi.nlm.nih.gov/24458966/</x:v>
      </x:c>
      <x:c r="E26" s="4" t="str">
        <x:v>research/review_2026-09-21/pubmed/raw/priority_metadata_001800.xml</x:v>
      </x:c>
    </x:row>
    <x:row r="27" ht="141" customHeight="1">
      <x:c r="A27" s="10" t="str">
        <x:v>19345769</x:v>
      </x:c>
      <x:c r="B27" s="10" t="str">
        <x:v>OBJECTIVE: To compare the prevalence of discharge home to self-care after hip fracture hospitalization among the elderly in 3 racial groups: whites, Hispanics, and blacks.
DESIGN: Secondary data analysis.
SETTING: US hospitals.
PARTICIPANTS: Patients (N=34,203) aged 65 and older with Medicare insurance discharged after hip fracture hospitalization between 2001 and 2005.
INTERVENTIONS: Not applicable.
MAIN OUTCOME MEASURE: Discharge home to self-care.
RESULTS: Bivariate analyses showed higher rates of discharge home to self-care among minorities, 16.4% for Hispanics, 8.7% for blacks, and 5.9% for whites. Hispanics had 3-fold higher odds of being discharged home to self-care, and blacks had about 50% higher odds of being discharged home to self-care after adjusting for age, sex, Klabunde's comorbidity index, income, year of admission, type of hip fracture, surgical stabilization procedure, and length of hospital stay.
CONCLUSIONS: The higher rate of discharge home to self-care among minorities underscores the risk of suboptimal outpatient rehabilitative care among minorities with hip fracture.</x:v>
      </x:c>
      <x:c r="C27" s="10" t="str">
        <x:v>Disparities in utilization of outpatient rehabilitative care following hip fracture hospitalization with respect to race and ethnicity.</x:v>
      </x:c>
      <x:c r="D27" s="10" t="str">
        <x:v>https://pubmed.ncbi.nlm.nih.gov/19345769/</x:v>
      </x:c>
      <x:c r="E27" s="10" t="str">
        <x:v>research/review_2026-09-21/pubmed/raw/priority_metadata_001200.xml</x:v>
      </x:c>
    </x:row>
    <x:row r="28" ht="165" customHeight="1">
      <x:c r="A28" s="4" t="str">
        <x:v>39303221</x:v>
      </x:c>
      <x:c r="B28" s="4" t="str">
        <x:v>BACKGROUND: Geriatric hip fractures are common and important sentinel events regarding bone health. Although dual x-ray absorptiometry (DEXA) scans are a standard method for determining bone density, differences in use among various race/ethnic groups around the time of hip fracture may reveal disparities within the healthcare system.
METHODS: The 2014 to 2016 Medicare Standard Analytic Files PearlDiver data set was used to identify geriatric patients sustaining hip fracture. From that cohort, those who had a DEXA scan before or after their fracture were defined. For the defined cohorts, patient age, sex, Elixhauser Comorbidity Index, race/ethnicity, and income (based on zip code) were defined and compared with univariate and multivariate analyses.
RESULTS: Of 58,099 hip fracture patients, only 19.8% had had a DEXA scan before fracture and 3.9% of the remaining group had the DEXA scan after fracture. Of the hip fracture population, 91.0% identified as White and 9.0% as non-White (Native American, Black, Hispanic, Asian, or Other). Before hip fracture, controlling for other variables and compared with White patients, all non-White categories were at lesser odds of having had the DEXA scan. After hip fracture, Black, Hispanic, and other patients were also at lesser odds of having the DEXA scan.
DISCUSSION: Using a large Medicare data set, controlling for patient age, sex, Elixhauser Comorbidity Index, and income marker, this study revealed disparities in DEXA scan utilization across race/ethnic groups before and after presenting with a hip fragility fracture. Identification of such disparities highlights the needs for improved medical access and care for this at-risk hip fracture population.</x:v>
      </x:c>
      <x:c r="C28" s="4" t="str">
        <x:v>Disparities in Dual-energy X-ray Absorptiometry Scan Utilization Across Race/Ethnic Groups Before and After Hip Fractures.</x:v>
      </x:c>
      <x:c r="D28" s="4" t="str">
        <x:v>https://pubmed.ncbi.nlm.nih.gov/39303221/</x:v>
      </x:c>
      <x:c r="E28" s="4" t="str">
        <x:v>research/review_2026-09-21/pubmed/raw/priority_metadata_005600.xml</x:v>
      </x:c>
    </x:row>
    <x:row r="29" ht="189" customHeight="1">
      <x:c r="A29" s="10" t="str">
        <x:v>36282933</x:v>
      </x:c>
      <x:c r="B29" s="10" t="str">
        <x:v>BACKGROUND: Breast cancer is the most prevalent type of cancer in women in the United States. Ribociclib plus fulvestrant combination therapy gained US Food and Drug Administration approval to treat postmenopausal women with hormone receptor-positive/human epidermal growth factor receptor 2-negative (HR+/HER2-) advanced or metastatic breast cancer in 2018. OBJECTIVE: To determine the cost-effectiveness of ribociclib plus fulvestrant vs placebo plus fulvestrant therapy in the target population from a US payer perspective. METHODS: A partitioned survival analysis model composed of 3 health states (progression free, progressed disease, and death) was constructed to evaluate the cost-effectiveness of ribociclib plus fulvestrant vs placebo plus fulvestrant. The progression-free survival and the overall survival data points were extracted from published Kaplan-Meier curves in the MONALEESA-3 study and fitted to parametric curves. The safety and efficacy of the treatment was referenced from the MONALEESA-3 trial. Costs were obtained from standard sources including the Red Book for medication costs, Medicare Clinical Laboratory/Physician Fee Schedule for clinical utilization, and the literature for costs of managing adverse events, subsequent therapy, and end-of-life care. Utility and disutility values were obtained from literature to calculate quality-adjusted life-years (QALYs). One-way and probabilistic sensitivity analyses were conducted to test the model robustness. Several scenario analyses were also investigated. RESULTS: In the base case, the ribociclib plus fulvestrant arm was associated with $522,844 and 3.25 QALYs compared with $50,395 and 2.14 QALYs in the placebo plus fulvestrant arm, leading to an incremental cost-effectiveness ratio of $425,951/QALY. The cost of ribociclib had the biggest impact on the model and constituted 84% of the total cost for the ribociclib plus fulvestrant arm. The probabilistic sensitivity analysis projected that the ribociclib plus fulvestrant treatment would have a net benefit over the placebo plus fulvestrant therapy at a willingness-to-pay (WTP) threshold of $405,600/QALY. CONCLUSIONS: At a WTP threshold of $150,000/QALY, the addition of ribociclib to fulvestrant is not considered to be cost-effective in postmenopausal women with HR+/HER2- advanced or metastatic breast cancer. The findings send a strong price signal to the manufacturer and can be used to facilitate payers with price negotiation in making coverage decisions.</x:v>
      </x:c>
      <x:c r="C29" s="10" t="str">
        <x:v>Is adding ribociclib to fulvestrant cost-effective in treating postmenopausal women with HR+/HER2- advanced or metastatic breast cancer? A US payer perspective cost utility analysis.</x:v>
      </x:c>
      <x:c r="D29" s="10" t="str">
        <x:v>https://pubmed.ncbi.nlm.nih.gov/36282933/</x:v>
      </x:c>
      <x:c r="E29" s="10" t="str">
        <x:v>research/review_2026-09-21/pubmed/raw/priority_metadata_004600.xml</x:v>
      </x:c>
    </x:row>
    <x:row r="30" ht="189" customHeight="1">
      <x:c r="A30" s="4" t="str">
        <x:v>38810963</x:v>
      </x:c>
      <x:c r="B30" s="4" t="str">
        <x:v>OBJECTIVE: This study aimed to describe postpartum contraception preferences in the context of pregnancy intention (PI).
STUDY DESIGN: A prospective cohort study analyzing postpartum contraceptive choice (PCC) in 431 postpartum women who delivered at a single academic medical center. PCC in women with an unintended or mistimed pregnancy was compared to contraceptive choice in women with an intended pregnancy using the adapted National Survey of Family Growth categorization. Mistimed and unintended pregnancies were grouped for analysis. Generalized linear modeling estimated the relative influence of PI on PCC adjusting for maternal age, race, and parity.
RESULTS: Nearly three out of four (71.9%) pregnancies were mistimed or unintended. These pregnancies were more likely in women who were non-Hispanic Black (62.3%), unmarried (86.3%), 18 to 24 years (51.3%), and insured by Medicaid or Medicare (82.1%), compared to women with an intended pregnancy, p-value &lt;0.001. Women with mistimed or unintended pregnancy were 83% more likely to choose highly effective, user-independent methods compared to any other or no method, adjusted relative risk (aRR) = 1.83 (95% confidence interval [CI]: 1.36, 2.47), and more likely to desire voluntary sterilization, aRR = 2.70 (95% CI: 1.58, 4.59). Additionally, women with these pregnancies were 56% more likely to use user-independent methods compared to user-dependent methods, aRR = 1.56 (95% CI: 1.18, 2.06).
CONCLUSION: Women with mistimed or unintended pregnancies are 83% more likely to choose highly effective postpartum contraception or voluntary sterilization, and thus initiatives are necessary to increase access and affordability to these methods before hospital discharge after delivery.
KEY POINTS: · Nearly three out of four pregnancies in this study were mistimed or unintended.. · Women with mistimed or unintended pregnancies are more likely to choose highly effective postpartum contraception or voluntary sterilization.. · Public health initiatives to improve access to family planning services and postpartum contraception, including surgery for bilateral tubal ligation before discharge from the hospital postdelivery, are important areas of focus to help attenuate the rates of unintended pregnancy in the United States..</x:v>
      </x:c>
      <x:c r="C30" s="4" t="str">
        <x:v>Influence of Pregnancy Intention on Postpartum Contraceptive Choice at an Urban Academic Medical Center.</x:v>
      </x:c>
      <x:c r="D30" s="4" t="str">
        <x:v>https://pubmed.ncbi.nlm.nih.gov/38810963/</x:v>
      </x:c>
      <x:c r="E30" s="4" t="str">
        <x:v>research/review_2026-09-21/pubmed/raw/priority_metadata_005400.xml</x:v>
      </x:c>
    </x:row>
    <x:row r="31" ht="153" customHeight="1">
      <x:c r="A31" s="10" t="str">
        <x:v>27061765</x:v>
      </x:c>
      <x:c r="B31" s="10" t="str">
        <x:v>OBJECTIVE: To assess whether the receipt of androgen therapy is associated with a reduced 30-day rehospitalization rate among older men with testosterone deficiency.
PATIENTS AND METHODS: We conducted a retrospective cohort study using a 5% national sample of Medicare beneficiaries. We identified 6372 nonsurgical hospitalizations between January 1, 2007, and December 31, 2012, for male patients aged 66 years and older with a previous diagnosis of testosterone deficiency. Patients who died or lost Medicare coverage in the 30 days after hospital discharge or who were discharged to another inpatient setting were excluded from the analysis. Logistic regression was used to calculate odds ratios (ORs) and 95% CIs for the risk of 30-day hospital readmissions associated with receipt of androgen therapy.
RESULTS: In older men with testosterone deficiency, receipt of androgen therapy was associated with a reduced risk of rehospitalization (91 of 929 androgen users [9.8%] vs 708 of 5443 non-androgen users [13.0%]; OR, 0.73; 95% CI, 0.58-0.92) in the 30 days after hospital discharge. In a logistic regression analysis adjusting for multiple demographic, clinical, and health service variables, the OR was similar (OR, 0.75; 95% CI, 0.59-0.95). The adjusted OR for unplanned 30-day hospital readmissions was 0.62 (95% CI, 0.47-0.83). Each of these findings persisted across a range of propensity score analyses-including adjustment, stratification, and inverse probability treatment weighting-and several sensitivity analyses.
CONCLUSION: Androgen therapy may reduce the risk of rehospitalization in older men with testosterone deficiency. Given the high rates of early hospital readmission among older adults, further exploration of this intervention holds broad clinical and public health relevance.</x:v>
      </x:c>
      <x:c r="C31" s="10" t="str">
        <x:v>Androgen Therapy and Rehospitalization in Older Men With Testosterone Deficiency.</x:v>
      </x:c>
      <x:c r="D31" s="10" t="str">
        <x:v>https://pubmed.ncbi.nlm.nih.gov/27061765/</x:v>
      </x:c>
      <x:c r="E31" s="10" t="str">
        <x:v>research/review_2026-09-21/pubmed/raw/priority_metadata_002200.xml</x:v>
      </x:c>
    </x:row>
    <x:row r="32" ht="201" customHeight="1">
      <x:c r="A32" s="4" t="str">
        <x:v>33156064</x:v>
      </x:c>
      <x:c r="B32" s="4" t="str">
        <x:v>OBJECTIVE: To determine if premature menopause and early menarche are associated with increased risk of AAA, and to explore potential effect modification by smoking history.
SUMMARY OF BACKGROUND DATA: Despite worse outcomes for women with AAA, no studies have prospectively examined sex-specific risk factors, such as premature menopause and early menarche, with risk of AAA in a large, ethnically diverse cohort of women.
METHODS: This was a post-hoc analysis of Women's Health Initiative participants who were beneficiaries of Medicare Parts A&amp;B fee-for-service. AAA cases and interventions were identified from claims data. Follow-up period included Medicare coverage until death, end of follow-up or end of coverage inclusive of 2017.
RESULTS: Of 101,119 participants included in the analysis, the mean age was 63 years and median follow-up was 11.3 years. Just under 10,000 (9.4%) women experienced premature menopause and 22,240 (22%) experienced early men-arche. Women with premature menopause were more likely to be overweight, Black, have &gt;20 pack years of smoking, history of cardiovascular disease, hypertension, and early menarche. During 1,091,840 person-years of follow-up, 1125 women were diagnosed with AAA, 134 had premature menopause (11.9%), 93 underwent surgical intervention and 45 (48%) required intervention for ruptured AAA. Premature menopause was associated with increased risk of AAA [hazard ratio 1.37 (1.14, 1.66)], but the association was no longer significant after multivariable adjustment for demographics and cardiovascular disease risk factors. Amongst women with ≥20 pack year smoking history (n = 19,286), 2148 (11.1%) had premature menopause, which was associated with greater risk of AAA in all models [hazard ratio 1.63 (1.24, 2.23)]. Early menarche was not associated with increased risk of AAA.
CONCLUSIONS: This study finds that premature menopause may be an important risk factor for AAA in women with significant smoking history. There was no significant association between premature menopause and risk of AAA amongst women who have never smoked. These results suggest an opportunity to develop strategies for better screening, risk reduction and stratification, and outcome improvement in the comprehensive vascular care of women.</x:v>
      </x:c>
      <x:c r="C32" s="4" t="str">
        <x:v>Association of Premature Menopause With Risk of Abdominal Aortic Aneurysm in the Women's Health Initiative.</x:v>
      </x:c>
      <x:c r="D32" s="4" t="str">
        <x:v>https://pubmed.ncbi.nlm.nih.gov/33156064/</x:v>
      </x:c>
      <x:c r="E32" s="4" t="str">
        <x:v>research/review_2026-09-21/pubmed/raw/priority_metadata_003800.xml</x:v>
      </x:c>
    </x:row>
    <x:row r="33" ht="189" customHeight="1">
      <x:c r="A33" s="10" t="str">
        <x:v>24443943</x:v>
      </x:c>
      <x:c r="B33" s="10" t="str">
        <x:v>INTRODUCTION: Late-onset hypogonadism may impair quality of life and contribute to metabolic and cardiovascular comorbidity in aging men. Testosterone replacement therapy is effective in treating hypogonadism. However, for the millions of men with a history of prostate cancer, exogenous testosterone has long been considered contraindicated, even though little data in such men are available. Clarification of this safety issue could allow treatment to be considered for a sizeable segment of the aging male population.
AIM: The aim of this study is to examine population-based utilization and impact of testosterone replacement therapy in men with prostate cancer.
METHODS: Using linked Surveillance, Epidemiology, and End Results-Medicare data, we identified 149,354 men diagnosed with prostate cancer from 1992 to 2007. Of those, 1181 (0.79%) men received exogenous testosterone following their cancer diagnosis. We used propensity scoring analysis to examine the effect of testosterone replacement on the use of salvage hormone therapy and overall and prostate cancer-specific mortality.
MAIN OUTCOME MEASURES: We assessed overall mortality, cancer-specific mortality, and the use of salvage hormone therapy.
RESULTS: Following prostate cancer diagnosis, testosterone replacement was directly related to income and educational status and inversely related to age (all P &lt; 0.001). Men undergoing radical prostatectomy and men with well-differentiated tumors were more likely to receive testosterone (all P &lt; 0.001). On adjusted analysis, testosterone replacement therapy was not associated with overall or cancer-specific mortality or with the use of salvage hormone therapy.
CONCLUSIONS: In this population-based observational study of testosterone replacement therapy in men with a history of prostate cancer, treatment was not associated with increased overall or cancer-specific mortality. These findings suggest testosterone replacement therapy may be considered in men with a history of prostate cancer, but confirmatory prospective studies are needed.</x:v>
      </x:c>
      <x:c r="C33" s="10" t="str">
        <x:v>Testosterone replacement therapy following the diagnosis of prostate cancer: outcomes and utilization trends.</x:v>
      </x:c>
      <x:c r="D33" s="10" t="str">
        <x:v>https://pubmed.ncbi.nlm.nih.gov/24443943/</x:v>
      </x:c>
      <x:c r="E33" s="10" t="str">
        <x:v>research/review_2026-09-21/pubmed/raw/priority_metadata_001800.xml</x:v>
      </x:c>
    </x:row>
    <x:row r="34" ht="153" customHeight="1">
      <x:c r="A34" s="4" t="str">
        <x:v>34937038</x:v>
      </x:c>
      <x:c r="B34" s="4" t="str">
        <x:v>BACKGROUND AND PURPOSE: Primary care physicians (PCPs) provide ongoing management after stroke. However, little is known about how best to measure physician encounters with reference to longer term outcomes. We aimed to compare methods for measuring regularity and continuity of PCP encounters, based on survival following stroke using linked healthcare data.
METHODS: Data from the Australian Stroke Clinical Registry (2010-2014) were linked with Australian Medicare claims from 2009 to 2016. Physician encounters were ascertained within 18 months of discharge for stroke. We calculated three separate measures of continuity of encounters (consistency of visits with primary physician) and three for regularity of encounters (distribution of service utilization over time). Indices were compared based on 1-year survival using multivariable Cox regression models. The best performing measures of regularity and continuity, based on model fit, were combined into a composite "optimal care" variable.
RESULTS: Among 10,728 registrants (43% female, 69% aged ≥65 years), the median number of encounters was 17. The measures most associated with survival (hazard ratio [95% confidence interval], Akaike information criterion [AIC], and Bayesian information criterion [BIC]) were the Continuity of Care Index (COCI, as a measure of continuity; 0.88 [0.76-1.02], p = 0.099, AIC = 13,746, BIC = 13,855) and our persistence measure of regularity (encounter at least every 6 months; 0.80 [0.67-0.95], p = 0.011, AIC = 13,742, BIC = 13,852). Our composite measure, persistent plus COCI ≥80% (24% of registrants; 0.80 [0.68-0.94], p = 0.008, AIC = 13,742, BIC = 13,851), performed marginally better than our persistence measure alone.
CONCLUSIONS: Our persistence measure of regularity or composite measure may be useful when measuring physician encounters following stroke.</x:v>
      </x:c>
      <x:c r="C34" s="4" t="str">
        <x:v>Optimal Measures for Primary Care Physician Encounters after Stroke and Association with Survival: A Data Linkage Study.</x:v>
      </x:c>
      <x:c r="D34" s="4" t="str">
        <x:v>https://pubmed.ncbi.nlm.nih.gov/34937038/</x:v>
      </x:c>
      <x:c r="E34" s="4" t="str">
        <x:v>research/review_2026-09-21/pubmed/raw/priority_metadata_004400.xml</x:v>
      </x:c>
    </x:row>
    <x:row r="35" ht="165" customHeight="1">
      <x:c r="A35" s="10" t="str">
        <x:v>29636104</x:v>
      </x:c>
      <x:c r="B35" s="10" t="str">
        <x:v>BACKGROUND: To evaluate real-world patient characteristics, medication use, and health care utilization patterns in patients with type 2 diabetes with established cardiovascular disease (CVD).
METHODS: Cross-sectional analysis of patients with type 2 diabetes seen at Cleveland Clinic from 2005 to 2016, divided into two cohorts: with-CVD and without-CVD. Patient demographics and antidiabetic medications were recorded in December 2016; department encounters included all visits from 1/1/2016 to 12/31/2016. Comorbidity burden was assessed by the diabetes complications severity index (DCSI) score.
RESULTS: Of 95,569 patients with type 2 diabetes, 40,910 (42.8%) were identified as having established CVD. Patients with CVD vs. those without were older (median age 69.1 vs. 58.2 years), predominantly male (53.8% vs. 42.6%), and more likely to have Medicare insurance (69.4% vs. 35.3%). The with-CVD cohort had a higher proportion of patients with a DCSI score ≥ 3 than the without-CVD cohort (65.0% vs. 10.3%). Utilization rates of glucagon-like peptide-1 receptor agonists and sodium-glucose co-transporter-2 inhibitors were low in both with-CVD (4.1 and 2.5%) and without-CVD cohorts (5.4 and 4.1%), respectively. The majority of patient visits (75%) were seen by a primary care provider. During the 1-year observation period, 81.9 and 62.0% of patients with type 2 diabetes and CVD were not seen by endocrinology or cardiology, respectively.
CONCLUSIONS: These data indicated underutilization of specialists and antidiabetic medications reported to confer CV benefit in patients with type 2 diabetes and CVD. The impact of recently updated guidelines and cardiovascular outcome trial results on management patterns in such patients remains to be seen.</x:v>
      </x:c>
      <x:c r="C35" s="10" t="str">
        <x:v>Antidiabetic treatment patterns and specialty care utilization among patients with type 2 diabetes and cardiovascular disease.</x:v>
      </x:c>
      <x:c r="D35" s="10" t="str">
        <x:v>https://pubmed.ncbi.nlm.nih.gov/29636104/</x:v>
      </x:c>
      <x:c r="E35" s="10" t="str">
        <x:v>research/review_2026-09-21/pubmed/raw/priority_metadata_002800.xml</x:v>
      </x:c>
    </x:row>
    <x:row r="36" ht="153" customHeight="1">
      <x:c r="A36" s="4" t="str">
        <x:v>12140346</x:v>
      </x:c>
      <x:c r="B36" s="4" t="str">
        <x:v>OBJECTIVE: This study reports 5-year outcomes from the Montreal Heart Attack Readjustment Trial, a randomized, controlled trial of monthly telephone monitoring of psychological distress and home nursing visits in a sample of 1376 patients. It focuses on differences in long-term program impact associated with patients' sex and baseline anxiety/repressor coping styles. The potential mediating roles of medications, medical care utilization, and changes in negative emotions over the program are also explored.
METHODS: Three subgroups were defined using median splits on the State Anxiety Inventory and Marlowe-Crowne Scale administered at baseline: truly low anxious, repressors, and high anxious. Quebec medicare data were used to track survival through 5 years.
RESULTS: The trend toward worse prognosis in women in the treatment group and no evidence of treatment impact in men that were seen during the program year were maintained during the follow-up. Analysis of results in terms of coping styles showed a significant long-term survival benefit of treatment in highly anxious men, for whom reductions in somatic symptoms of depression mediated program impact. However, the program was also associated with significantly worse survival in repressors of both sexes. By the end of the program, repressors in the treatment group were more likely to be prescribed benzodiazepines and to have visited emergency rooms without being readmitted than those in the control group, suggesting that the program may have increased distress in repressors.
CONCLUSIONS: Patients' coping style is important in determining outcomes of psychosocial treatments and should be taken into account when tailoring interventions.</x:v>
      </x:c>
      <x:c r="C36" s="4" t="str">
        <x:v>Long-term survival differences among low-anxious, high-anxious and repressive copers enrolled in the Montreal heart attack readjustment trial.</x:v>
      </x:c>
      <x:c r="D36" s="4" t="str">
        <x:v>https://pubmed.ncbi.nlm.nih.gov/12140346/</x:v>
      </x:c>
      <x:c r="E36" s="4" t="str">
        <x:v>research/review_2026-09-21/pubmed/raw/priority_metadata_000600.xml</x:v>
      </x:c>
    </x:row>
    <x:row r="37" ht="165" customHeight="1">
      <x:c r="A37" s="10" t="str">
        <x:v>39417222</x:v>
      </x:c>
      <x:c r="B37" s="10" t="str">
        <x:v>BACKGROUND: Benzodiazepines are commonly prescribed for post-acute ischemic stroke for anxiety, insomnia, and agitation. While guidelines discourage use in those aged ≥65 years, little is known about prescription patterns at the national level.
METHODS: We analyzed a 20% sample of US Medicare claims from April 1, 2013, to September 30, 2021. We selected beneficiaries aged ≥65 years discharged alive following an acute ischemic stroke who had traditional Medicare coverage and 6 months' prior enrollment in Parts A (hospital insurance), B (Medical insurance), and D (drug coverage). We excluded those with prior benzodiazepine prescriptions, self-discharges, or discharge to skilled nursing facilities. We examined demographics, comorbidities, first prescription days' supply, cumulative incidences of benzodiazepine first prescription fills within 90 days after discharge, and geographic and yearly trends.
RESULTS: We included 126 050 beneficiaries with a mean age of 78 years (SD, 8); 54% were female and 82% were White. Within 90 days, 6127 (4.9%) initiated a benzodiazepine. Among new prescriptions, lorazepam (40%) and alprazolam (33%) were the most prescribed. Most (76%) of first fills had a day's supply over 7 days and 55% between 15 and 30 days. Female initiation rates were higher (5.5% [95% CI, 5.3-5.7]) than male initiation rates (3.8% [95% CI, 3.6%-3.9%]). Rates were highest in the southeast (5.1% [95% CI, 4.8%-5.3%]) and lowest in the midwest (4.0% [95% CI, 3.8%-4.3%]), with a modest nationwide initiation decline from 2013 to 2021 (cumulative incidence difference, 1.6%).
CONCLUSIONS: Despite a gradual decline in benzodiazepine initiation from 2013 to 2021, we noted excessive supplies in prescriptions post-acute ischemic stroke discharge, underscoring the need for improved policies.</x:v>
      </x:c>
      <x:c r="C37" s="10" t="str">
        <x:v>Benzodiazepine Utilization in Ischemic Stroke Survivors: Analyzing Initial Excess Supply and Longitudinal Trends.</x:v>
      </x:c>
      <x:c r="D37" s="10" t="str">
        <x:v>https://pubmed.ncbi.nlm.nih.gov/39417222/</x:v>
      </x:c>
      <x:c r="E37" s="10" t="str">
        <x:v>research/review_2026-09-21/pubmed/raw/priority_metadata_005600.xml</x:v>
      </x:c>
    </x:row>
    <x:row r="38" ht="141" customHeight="1">
      <x:c r="A38" s="4" t="str">
        <x:v>30282770</x:v>
      </x:c>
      <x:c r="B38" s="4" t="str">
        <x:v>OBJECTIVE: To determine black-white differences in 1-year recurrent stroke and 30-day case fatality after a recurrent stroke in older US adults.
METHODS: We conducted a retrospective cohort study using a 5% random sample of Medicare beneficiaries with fee-for-service health insurance coverage who were hospitalized for ischemic stroke between 1999 and 2013. Hazard ratios for recurrent ischemic stroke and risk ratios for 30-day case fatality comparing blacks to whites were calculated with adjustment for demographics, risk factors, and competing risk of death when appropriate.
RESULTS: Among 128,789 Medicare beneficiaries having an ischemic stroke (mean age 80 years [SD 8 years], 60.4% male), 11.1% were black. The incidence rate of recurrent ischemic stroke per 1,000 person-years for whites and blacks was 108 (95% confidence interval [CI], 106-111) and 154 (95% CI 147-162) , respectively. The multivariable-adjusted hazard ratio for recurrent stroke among blacks compared with whites was 1.36 (95% CI 1.29-1.44). The case fatality after recurrent stroke for blacks and whites was 21% (95% CI 21%-22%) and 16% (95% CI 15%-18%), respectively. The multivariable-adjusted relative risk for mortality within 30 days of a recurrent stroke among blacks compared with whites was 0.82 (95% CI 0.73-0.93).
CONCLUSION: The risk of stroke recurrence among older Americans hospitalized for ischemic stroke is higher for blacks compared to whites, while 30-day case fatality after recurrent stroke remains lower for blacks.</x:v>
      </x:c>
      <x:c r="C38" s="4" t="str">
        <x:v>Racial differences in recurrent ischemic stroke risk and recurrent stroke case fatality.</x:v>
      </x:c>
      <x:c r="D38" s="4" t="str">
        <x:v>https://pubmed.ncbi.nlm.nih.gov/30282770/</x:v>
      </x:c>
      <x:c r="E38" s="4" t="str">
        <x:v>research/review_2026-09-21/pubmed/raw/priority_metadata_003000.xml</x:v>
      </x:c>
    </x:row>
    <x:row r="39" ht="141" customHeight="1">
      <x:c r="A39" s="10" t="str">
        <x:v>40528405</x:v>
      </x:c>
      <x:c r="B39" s="10" t="str">
        <x:v>OBJECTIVES: Women with HIV (WHV) have an increased prevalence of cervical cancer and are recommended three yearly cervical cancer screening. This is compared with five yearly screening their counterparts. We aimed to describe cervical cancer screening practices for WHV receiving HIV care at a large tertiary hospital.
METHODS: We performed a retrospective audit on all women who were in HIV care up until January 2023 at the Alfred Hospital, a tertiary hospital in Melbourne, Australia, specializing in HIV care. Cervical cancer screening results for Medicare eligible people are recorded in The National Cervical Cancer Screening Register (NCCSR) and these were extracted for women in care. Screening was categorized as up-to-date and consistent with national screening guidelines or overdue.
RESULTS: We identified 156 WHV in care of which 115 were included in the analysis. Of these, 57 (49.6%) had cervical screening on time and consistent with national guidelines, including 49 (86%) who had a normal last result and 8 (14%) with an abnormal last result. Half the women, 58 (50.4%) were overdue screening. Of those overdue, 52 (89.7%) were more than 6 months and 45 (76.3%) were more than 12 months overdue. Among the women overdue, 47 (81%) had a normal last result and 7 (12.1%) an abnormal last result.
CONCLUSION: We found that over half of the women included were overdue for their cervical screening test, with the vast majority being overdue by more than twelve months. Improved access to cervical cancer screening is needed in this population to achieve national guidelines targets.</x:v>
      </x:c>
      <x:c r="C39" s="10" t="str">
        <x:v>Cervical cancer screening in women with HIV: an audit of clinical care.</x:v>
      </x:c>
      <x:c r="D39" s="10" t="str">
        <x:v>https://pubmed.ncbi.nlm.nih.gov/40528405/</x:v>
      </x:c>
      <x:c r="E39" s="10" t="str">
        <x:v>research/review_2026-09-21/pubmed/raw/priority_metadata_006000.xml</x:v>
      </x:c>
    </x:row>
    <x:row r="40" ht="177" customHeight="1">
      <x:c r="A40" s="4" t="str">
        <x:v>15693926</x:v>
      </x:c>
      <x:c r="B40" s="4" t="str">
        <x:v>OBJECTIVE: Although nearly all elderly Americans are insured through Medicare, there is substantial variation in their use of services, which may influence detection of serious illnesses. We examined outpatient care in the 2 years before breast cancer diagnosis to identify women at high risk for limited care and assess the relationship of the physicians seen and number of visits with stage at diagnosis.
DESIGN: Retrospective cohort study using cancer registry and Medicare claims data.
PATIENTS: Population-based sample of 11,291 women aged &gt; or =67 diagnosed with breast cancer during 1995 to 1996.
MEASUREMENTS AND MAIN RESULTS: Ten percent of women had no visits or saw only physicians other than primary care physicians or medical specialists in the 2 years before diagnosis. Such women were more often unmarried, living in urban areas or areas with low median incomes (all P&gt; or =.01). Overall, 11.2% were diagnosed with advanced (stage III/IV) cancer. The adjusted rate was highest among women with no visits (36.2%) or with visits to physicians other than primary care physicians or medical specialists (15.3%) compared to women with visits to either a primary care physician (8.6%) or medical specialist (9.4%) or both (7.8%) (P&lt;.001). The rate of advanced cancer also decreased with increasing number of visits (P&lt;.001).
CONCLUSIONS: Even within this insured population, many elderly women had limited or no outpatient care in the 2 years before breast cancer diagnosis, and these women had a markedly increased risk of advanced-stage diagnosis. These women, many of whom were unmarried and living in poor and urban areas, may benefit from targeted outreach or coverage for preventive care visits.</x:v>
      </x:c>
      <x:c r="C40" s="4" t="str">
        <x:v>The association of ambulatory care with breast cancer stage at diagnosis among Medicare beneficiaries.</x:v>
      </x:c>
      <x:c r="D40" s="4" t="str">
        <x:v>https://pubmed.ncbi.nlm.nih.gov/15693926/</x:v>
      </x:c>
      <x:c r="E40" s="4" t="str">
        <x:v>research/review_2026-09-21/pubmed/raw/priority_metadata_000800.xml</x:v>
      </x:c>
    </x:row>
    <x:row r="41" ht="177" customHeight="1">
      <x:c r="A41" s="10" t="str">
        <x:v>34293915</x:v>
      </x:c>
      <x:c r="B41" s="10" t="str">
        <x:v>PURPOSE: This study provides a contemporary assessment of the treatment patterns, health care resource utilization (HRU) and costs among metastatic castration-sensitive prostate cancer (mCSPC) patients in the U.S.
MATERIALS AND METHODS: Adults with mCSPC were selected from Optum's de-identified Clinformatics® Data Mart Database (Commercial insurance/Medicare Advantage [COM/MA]; January 1, 2014-July 31, 2019) or Medicare Fee-for-Service (FFS; January 1, 2014-December 31, 2017). The index date was the first metastatic disease diagnosis date on/after the first prostate cancer diagnosis (without prior evidence of castration resistance). Patients were observed for 12 months pre-index (baseline) through their mCSPC period (from index until castration resistance or followup end). First-line (1L) mCSPC therapy was assessed during the mCSPC period; all-cause HRU and health plan-paid costs per-patient-per-year (PPPY) were measured during baseline and mCSPC periods.
RESULTS: Among 6,517 COM/MA and 13,324 Medicare-FFS mCSPC patients over ∼10 months (median mCSPC period), 38% and 48% remained untreated/deferred treatment, and 45% and 46% received 1L androgen deprivation therapy (ADT) monotherapy, respectively. 1L abiraterone acetate and docetaxel were used among 7% and 6% of COM/MA and 1% and 2% of Medicare-FFS patients, respectively. HRU increased from baseline to mCSPC period, resulting in increased health plan-paid costs from $21,201 to $108,767 in COM/MA and from $16,819 to $69,639 PPPY in Medicare-FFS.
CONCLUSIONS: This study highlights the limited use of newer therapies that improve survival in men with mCSPC in the U.S. HRU and costs increased substantially after onset of metastasis. Given the emergence of newer effective mCSPC therapies, further evaluation of future real-world mCSPC treatment patterns and outcomes is warranted.</x:v>
      </x:c>
      <x:c r="C41" s="10" t="str">
        <x:v>Management of Patients with Metastatic Castration-Sensitive Prostate Cancer in the Real-World Setting in the United States.</x:v>
      </x:c>
      <x:c r="D41" s="10" t="str">
        <x:v>https://pubmed.ncbi.nlm.nih.gov/34293915/</x:v>
      </x:c>
      <x:c r="E41" s="10" t="str">
        <x:v>research/review_2026-09-21/pubmed/raw/priority_metadata_004200.xml</x:v>
      </x:c>
    </x:row>
    <x:row r="42" ht="405" customHeight="1">
      <x:c r="A42" s="4" t="str">
        <x:v>41915775</x:v>
      </x:c>
      <x:c r="B42" s="4" t="str">
        <x:v>BACKGROUND: Patients commonly have symptoms during cancer treatment that can go undetected. Symptom monitoring with electronic patient-reported outcome (ePRO) surveys may detect symptoms early and prompt clinicians to intervene, thereby improving outcomes.
OBJECTIVE: To evaluate whether ePRO symptom monitoring during cancer treatment improves patient survival, physical functioning, health-related quality of life (HRQOL), symptom control, and emergency department (ED) and hospital visits and to elicit feedback from patients, nurses, physicians, and external stakeholders on ePRO implementation barriers, facilitators, utility, value, and dissemination strategies.
METHODS: The Patient-Reported Outcomes to Enhance Cancer Treatment (PRO-TECT) trial (Alliance AFT-39; NCT03249090) was a cluster-randomized trial conducted in 52 US community oncology practices randomly assigned 1:1 to electronic symptom monitoring with patient-reported outcome (PRO) surveys (intervention arm practices) or to usual care (control arm practices). Between October 30, 2017, and March 16, 2020, 1191 adults receiving treatment for metastatic cancer were enrolled, with last follow-up on March 17, 2021. In the ePRO intervention arm, patients (n = 593) were asked to complete a weekly survey via an internet-based or automated telephone system for up to 1 year, including questions about common symptoms, performance status, falls, and financial burden. Severe or worsening symptoms triggered real-time alert notification emails to care team nurses. Longitudinal symptom reports were available at visits. In the control arm, patients (n = 598) received usual care. Both arms received access to standardized symptom management guidelines. The primary outcome of overall survival was assessed at 24-month follow-up based on data from the US National Death Index. Prespecified secondary outcomes included physical function, symptom control, and HRQOL at 3 months, measured by the European Organisation for Research and Treatment of Cancer QLQ-C30 instrument, and ED and hospital use based on electronic health record (EHR) data. Patient feedback about the utility and acceptability of and their satisfaction with the intervention was collected via surveys after 3 months of participation and at study completion. Nurse and physician feedback about barriers, facilitators, strategies, and implementation recommendations was collected after 6 months of experience with the ePRO intervention. Final trial results were shared with external stakeholder representatives of patient advocacy organizations and salient professional institutions (health systems, regulatory agencies, payers, academia) to elicit feedback on the value of the findings, their potential impact, and recommendations for future dissemination and implementation.
RESULTS: At 52 practices, 1191 patients were enrolled to participate (mean age, 62.2 years; 694 [58.3%] women; 16.6% Black or African American; 26.6% rural). All patients were included in the analysis, which found no significant differences for overall survival between arms (hazard ratio, 0.99; P = .86). Patients in the ePRO intervention arm experienced significant benefits compared with usual care in physical functioning (odds ratio [OR] for clinically meaningful benefits, 1.35 [95% CI, 1.08-1.70]; P = .009), HRQOL (OR, 1.41 [95% CI, 1.10-1.81]; P = .006), and symptom burden (OR, 1.50 [95% CI, 1.15-1.95]; P = .003). A significant difference in mean number of ED visits also favored the intervention (1.02 for ePRO vs 1.30 for control; P &lt; .001). Findings were similar for hospital visits (0.96 vs 1.12; P = .05) and for a combined metric including ED and hospital visits (1.48 vs 1.81; P = .006). Surveys of patients in the intervention arm found that 463 of 496 (93.3%) thought the ePRO software was easy to use, 471 of 496 (95.0%) thought questions were easy to understand, 359 of 495 (72.5%) experienced improved discussions with their care team, 381 of 494 (77.1%) felt more in control of their own care, and 443 of 496 (89.3%) would recommend ePRO to future patients. In the survey of nurses across practices, 44 of 56 (78.6%) indicated ePRO information was helpful for EHR documentation, and 47 of 56 (83.9%) thought ePRO information improved the quality of discussions with patients. Although 44 of 58 (75.9%) nurses found alerts helpful, 28 of 57 (49.1%) thought that there were “too many” alerts. Among 39 surveyed oncologists, 34 of 39 (87.2%) noted that they reviewed ePRO information for clinical care, and 31 of 34 (91.2%) found the information useful. Semistructured interviews with nurses and physicians echoed these findings, with nurses suggesting there should be dedicated nursing time integrated into job descriptions to field and respond to ePRO alerts in future implementations. Nurses and physicians recommended integration of ePRO software with the EHR system, which was not done in this trial. All 23 external stakeholders thought the trial findings provided compelling evidence of benefits that will affect clinical practice. The stakeholders all expressed that although there was no survival difference between arms, the benefits of the secondary patient-centered outcomes were considered sufficiently compelling as a rationale for the value of the intervention. The stakeholders expressed that evidence of implementation across entire practices is a needed next step toward successful dissemination of this intervention.
CONCLUSIONS: Symptom monitoring with ePROs during treatment for metastatic cancer did not affect the primary outcome of survival in this trial but conferred statistically significant and clinically meaningful benefits on the secondary patient-centered outcomes of physical function, HRQOL, and symptom control and reduced ED visits and hospitalizations. Feedback from participating patients, nurses, and physicians indicates high levels of acceptance, satisfaction, and endorsement of the intervention, with recommendations to protect some nursing effort in future implementations and to integrate the ePRO software with EHR systems. External stakeholder feedback indicates a need for future evaluation of wider implementation including a larger number of patients per practice, with greater EHR integration, a focus on improving the experiences of nurses with the intervention, and an eye toward generating data to support reimbursement models. In terms of initial dissemination, results have been published in JAMA, were used as the basis for recommendations in a major international clinical practice guideline, and have supported the rationale for ePRO integration in a new US payment model for oncology from the Centers for Medicare &amp; Medicaid Services, with plans for additional publications and webinars.
LIMITATIONS: The effects of the intervention may have been reduced by conduct of the trial across numerous community practices with diverse procedures for symptom management, by being conducted partially during the COVID-19 pandemic when site personnel were pulled away from care coordination roles on which this intervention relied, by lack of integration of the ePRO software with practice EHR systems, by lack of protected time for nurses to address alert notifications, and by baseline imbalances between arms due to the cluster-randomized design (eg, intervention arm patients overall were receiving later lines of therapy and had less access to palliative care support). It is reassuring that despite these limitations, there were clinically meaningful benefits to the intervention.</x:v>
      </x:c>
      <x:c r="C42" s="4" t="str">
        <x:v>Comparing the Effectiveness of Electronic Symptom Monitoring versus Usual Care in Improving Survival among Patients with Metastatic Cancer—The PRO-TECT Trial</x:v>
      </x:c>
      <x:c r="D42" s="4" t="str">
        <x:v>https://pubmed.ncbi.nlm.nih.gov/41915775/</x:v>
      </x:c>
      <x:c r="E42" s="4" t="str">
        <x:v>research/review_2026-09-21/pubmed/raw/priority_metadata_006400.xml</x:v>
      </x:c>
    </x:row>
    <x:row r="43" ht="201" customHeight="1">
      <x:c r="A43" s="10" t="str">
        <x:v>38033283</x:v>
      </x:c>
      <x:c r="B43" s="10" t="str">
        <x:v>PURPOSE: The incidence of oral tongue cancers has increased since the 1980s among US men and women for unknown reasons. We investigated associations of inflammatory tongue conditions with risk of cancers of the oral tongue, other oral cavity, and oropharynx among the US elderly individuals (age 65 years or older).
METHODS: We conducted a case-control study (2,534 oral tongue cancers, 6,832 other oral cavity cancers, 9,373 oropharyngeal cancers, and 200,000 controls) within the SEER-Medicare data set (1992-2013). Medicare records were used to identify patients with clinically diagnosed inflammatory tongue conditions (glossitis, benign migratory glossitis, median rhomboid glossitis, atrophic glossitis, glossodynia, other specified conditions [eg, atrophy and hypertrophy], and other unspecified conditions) and oral precancer (leukoplakia/erythroplakia). Only conditions preceding cancer/control selection by &gt;12 months were included.
RESULTS: The prevalence of inflammatory tongue conditions was significantly higher in patients with tongue cancer than controls (6.0% v 0.6%; odds ratios [ORs], adjusted for age, sex, race, Medicare utilization, and precancer, 5.8 [95% CI, 4.7 to 7.2]). This overall association primarily arose from glossitis, 5.6 (95% CI, 4.4 to 7.2); other specified conditions, 9.1 (95% CI, 5.5 to 15.2); and other unspecified conditions, 13.7 (95% CI, 8.0 to 23.7). These associations remained strongly elevated &gt;5 years preceding tongue cancer (arguing against reverse causation), for conditions diagnosed by a specialist (arguing against misclassification), and among patients who received an oral biopsy (arguing against missed cancer). During 2013, an estimated 1 in 11 patients with oral tongue cancer had a preceding diagnosis of inflammatory tongue conditions. Associations of inflammatory tongue conditions were relatively weak for other oral cavity cancers (ORs, 1.8 [95% CI, 1.5 to 2.3]) and oropharyngeal cancer (OR, 1.3 [95% CI, 1.0 to 1.6]) and were observed only closest to cancer diagnosis.
CONCLUSION: Inflammatory tongue conditions were associated with strongly increased risks of oral tongue cancers and preceded cancer diagnosis by several years, underscoring the need for increased clinical surveillance among patients with such apparently benign diagnoses.</x:v>
      </x:c>
      <x:c r="C43" s="10" t="str">
        <x:v>Inflammatory Tongue Conditions and Risk of Oral Tongue Cancer Among the US Elderly Individuals.</x:v>
      </x:c>
      <x:c r="D43" s="10" t="str">
        <x:v>https://pubmed.ncbi.nlm.nih.gov/38033283/</x:v>
      </x:c>
      <x:c r="E43" s="10" t="str">
        <x:v>research/review_2026-09-21/pubmed/raw/priority_metadata_005200.xml</x:v>
      </x:c>
    </x:row>
    <x:row r="44" ht="141" customHeight="1">
      <x:c r="A44" s="4" t="str">
        <x:v>33875252</x:v>
      </x:c>
      <x:c r="B44" s="4" t="str">
        <x:v>BACKGROUND: Facial trauma is associated with significant long-term morbidity and pain. These patients are routinely prescribed opioid medication and are at risk for opioid dependence. Rates and trends in opioid prescription in the ambulatory setting for management of craniofacial trauma are unknown.
METHODS: The National Ambulatory Medical Care Survey and National Hospital Ambulatory Medical Care Survey data were analyzed from 2006 to 2016. Using International Classification of Diseases codes, 7,997,454 visits for craniomaxillofacial trauma were identified. Trends in opioid and nonopioid prescriptions were studied, with variables of interest including demographics, geographic region, expected source of payment, and injury location.
RESULTS: Over the study period, trends in both opioid and nonopioid prescriptions remained stable, with about 13.4% of all visits receiving opioid prescriptions. Patients aged 18 to 44 (P &lt; .001) and lower face trauma (P = .047) were associated with increased rates, while Medicare and charity payers (P &lt; .001) were associated with lower rates of opioid prescriptions. There was no significant difference in prescription rates across geographical regions, by ethnicity, or sex.
CONCLUSION: Opioid medication forms the cornerstone for ambulatory management of craniofacial trauma. Despite increased awareness and emphasis on multimodal pain management, opioid prescription trends have remained relatively stable over time.</x:v>
      </x:c>
      <x:c r="C44" s="4" t="str">
        <x:v>Trends in opioid prescription for craniomaxillofacial trauma in the United States: An 11-year retrospective study of emergency room and office visits.</x:v>
      </x:c>
      <x:c r="D44" s="4" t="str">
        <x:v>https://pubmed.ncbi.nlm.nih.gov/33875252/</x:v>
      </x:c>
      <x:c r="E44" s="4" t="str">
        <x:v>research/review_2026-09-21/pubmed/raw/priority_metadata_004000.xml</x:v>
      </x:c>
    </x:row>
    <x:row r="45" ht="273" customHeight="1">
      <x:c r="A45" s="10" t="str">
        <x:v>40569592</x:v>
      </x:c>
      <x:c r="B45" s="10" t="str">
        <x:v>IMPORTANCE: Despite expanded efforts to improve treatment access, inequities exist in the receipt of medications for opioid use disorder by race and ethnicity and insurance type.
OBJECTIVE: To examine inequities in access to medications for opioid use disorder (MOUD)-specifically buprenorphine and naltrexone-by race and ethnicity and insurance type after opioid-related health care events.
DESIGN, SETTING, AND PARTICIPANTS: This retrospective cohort study used data from the Institute for Health Equity Research Multi-Payor Claims Database, which includes more than 130 million individuals across commercial, Medicaid, and Medicare Advantage insurance plans. The cohort consisted of patients aged 18 years or older with an opioid use disorder (OUD)-related health care event (opioid-related overdose, infection, or treatment event) that occurred between January 1, 2017, and December 31, 2022. Statistical analysis was conducted from October 2023 to December 2024.
EXPOSURE: Race and ethnicity and insurance type, including commercial insurance, Medicaid, and Medicare Advantage, were the primary exposures.
MAIN OUTCOMES AND MEASURES: The primary outcome was receipt of MOUD (buprenorphine or naltrexone) within 180 days of an OUD-related health care event. Logistic regression models were used to assess the associations of MOUD receipt with race and ethnicity and with insurance type, adjusting for demographic, clinical, time, and geographical covariates.
RESULTS: Among 176 997 index events involving 164 728 patients between 2017 and 2022, the mean (SD) patient age was 40.0 (13.1) years; 104 005 (58.8%) involved men; 1083 events (0.6%) were among Asian patients, 23 424 (13.2%) were among Black patients, 10 302 (5.8%) were among Hispanic patients, 90 124 (50.9%) were among White patients, and 4697 (2.7%) were among patients of other race and ethnicity; and 147 257 (83.2%) were covered by Medicaid. Black (adjusted estimated probability, 17.1% [95% CI, 13.0%-21.1%]) and Hispanic (adjusted estimated probability, 16.2% [95% CI, 11.6%-20.8%]) patients were significantly less likely than White patients (adjusted estimated probability, 20.5% [95% CI, 16.4%-24.7%]) to receive buprenorphine (Black patients: adjusted odds ratio [AOR], 0.75 [95% CI, 0.63-0.90]; adjusted risk difference [ARD], -3.4 percentage points [pp] [95% CI, -6.5 to -0.4 pp]; Hispanic patients: AOR, 0.69 [95% CI, 0.51-0.92]; ARD, -4.4 pp [95% CI, -9.1 to 0.4 pp]) but received naltrexone at similar rates. Patients with Medicaid (AOR, 1.39 [95% CI, 1.14-1.69]; ARD, 3.5 pp [95% CI, 0.9-6.1 pp]) or Medicare Advantage (AOR, 1.40 [95% CI, 1.05-1.86]; ARD, 3.6 pp [95% CI, -0.6 to 7.7 pp]) were more likely to receive buprenorphine compared with those with commercial insurance. Buprenorphine access improved incrementally from 2017 to 2022, reflecting recent clinical and policy changes; however, disparities persisted.
CONCLUSIONS AND RELEVANCE: In this cohort study of more than 17 600 opioid-related index health care events, race and ethnicity-based and insurance-based disparities in access to MOUD persisted despite efforts to expand treatment availability. These findings underscore the need for targeted interventions, including culturally tailored care, expanded access points, and policy reforms to address structural barriers and reduce inequities contributing to the overdose crisis.</x:v>
      </x:c>
      <x:c r="C45" s="10" t="str">
        <x:v>Receipt of Buprenorphine and Naltrexone for Opioid Use Disorder by Race and Ethnicity and Insurance Type.</x:v>
      </x:c>
      <x:c r="D45" s="10" t="str">
        <x:v>https://pubmed.ncbi.nlm.nih.gov/40569592/</x:v>
      </x:c>
      <x:c r="E45" s="10" t="str">
        <x:v>research/review_2026-09-21/pubmed/raw/priority_metadata_006000.xml</x:v>
      </x:c>
    </x:row>
    <x:row r="46" ht="225" customHeight="1">
      <x:c r="A46" s="4" t="str">
        <x:v>34176279</x:v>
      </x:c>
      <x:c r="B46" s="4" t="str">
        <x:v>BACKGROUND: Timely evaluation of acute chest pain is necessary, although most evaluations will not find significant coronary disease. With employers increasingly adopting high-deductible health plans (HDHP), how HDHPs impact subsequent care after an emergency department (ED) diagnosis of nonspecific chest pain is unclear.
METHODS: Using a commercial and Medicare Advantage claims database, we identified members 19 to 63 years old whose employers exclusively offered low-deductible (≤$500) plans in 1 year, then, at an index date, mandated enrollment in HDHPs (≥$1000) for a subsequent year. We matched them with contemporaneous members whose employers only offered low-deductible plans. Primary outcomes included population rates of index ED visits with a principal diagnosis of nonspecific chest pain, admission during index ED visits, and index ED visits followed by noninvasive cardiac testing within 3 and 30 days, coronary revascularization, and acute myocardial infarction hospitalization within 30 days. We performed a cumulative interrupted time-series analysis, comparing changes in annual outcomes between the HDHP and control groups before and after the index date using aggregate-level segmented regression. Members from higher-poverty neighborhoods were a subgroup of interest.
RESULTS: After matching, we included 557 501 members in the HDHP group and 5 861 990 in the control group, with mean ages of 42.0 years, 48% to 49% female, and 67% to 68% non-Hispanic White individuals. Employer-mandated HDHP switches were associated with a relative decrease of 4.3% (95% CI, -5.9 to -2.7; absolute change, -4.5 [95% CI, -6.3 to -2.8] per 10 000 person-years) in nonspecific chest pain ED visits and 11.3% (95% CI, -14.0 to -8.6) decrease (absolute change, -1.7 per 10 000 person-years [95% CI, -2.1 to -1.2]) in visits leading to hospitalization. There was no significant decrease in subsequent noninvasive testing or revascularization procedures. An increase in 30-day acute myocardial infarction admissions was not statistically significant (15.9% [95% CI, -1.0 to 32.7]; absolute change, 0.3 per 10 000 person-years [95% CI, -0.01 to 0.5]) but was significant among members from higher-poverty neighborhoods.
CONCLUSIONS: Employer-mandated HDHP switches were associated with decreased nonspecific chest pain ED visits and hospitalization from these ED visits, but no significant change in post-ED cardiac testing. However, HDHP enrollment was associated with increased 30-day acute myocardial infarction admission after ED diagnosis of nonspecific chest pain among members from higher-poverty neighborhoods.</x:v>
      </x:c>
      <x:c r="C46" s="4" t="str">
        <x:v>Impact of High-Deductible Health Plans on Emergency Department Patients With Nonspecific Chest Pain and Their Subsequent Care.</x:v>
      </x:c>
      <x:c r="D46" s="4" t="str">
        <x:v>https://pubmed.ncbi.nlm.nih.gov/34176279/</x:v>
      </x:c>
      <x:c r="E46" s="4" t="str">
        <x:v>research/review_2026-09-21/pubmed/raw/priority_metadata_004200.xml</x:v>
      </x:c>
    </x:row>
    <x:row r="47" ht="129" customHeight="1">
      <x:c r="A47" s="10" t="str">
        <x:v>39828938</x:v>
      </x:c>
      <x:c r="B47" s="10" t="str">
        <x:v>ObjectiveWe aimed to examine the associations of telepsychiatry consultations with the Medicare Benefits Schedule (MBS) telehealth policy changes (pandemic-related expansion and subsequent consolidation).MethodsWe performed a time series analysis of MBS telepsychiatry usage (January 2016-December 2023) using state/territory-level Medicare panel data. Linear regression analyses with panel-corrected standard error and autocorrelation were performed for telepsychiatry consultations (overall and age and sex subgroups). Telehealth policies, rural psychiatrist availability (rural psychiatrists per 100,000 population) and their interaction were the independent variables. The models were adjusted for pandemic lockdown severity (Stringency Index) and population size.ResultsTelehealth expansion and consolidation were associated with substantial increases in telepsychiatry consultations, with larger increases in the consolidation phase. Given the telehealth policy changes, lower per capita rural psychiatrists were associated with more telepsychiatry consultations. Males and older people (&gt;65 years) showed greater relative consultation increases. Policy change-related telepsychiatry increases varied amongst states and territories.DiscussionThere was sustained telepsychiatry usage when it became more readily available, beyond the direct impact of acute pandemic lockdowns. Telehealth-enabling policies may contribute to fulfilling unmet mental health needs and improving access to psychiatric care amongst Australians. Further in-depth research in this area is needed.</x:v>
      </x:c>
      <x:c r="C47" s="10" t="str">
        <x:v>A time series analysis of Medicare-reimbursed telepsychiatry consultations across Australian states and territories before and after telehealth item expansion: Enabling policy can improve access to care.</x:v>
      </x:c>
      <x:c r="D47" s="10" t="str">
        <x:v>https://pubmed.ncbi.nlm.nih.gov/39828938/</x:v>
      </x:c>
      <x:c r="E47" s="10" t="str">
        <x:v>research/review_2026-09-21/pubmed/raw/priority_metadata_005800.xml</x:v>
      </x:c>
    </x:row>
    <x:row r="48" ht="165" customHeight="1">
      <x:c r="A48" s="4" t="str">
        <x:v>30947888</x:v>
      </x:c>
      <x:c r="B48" s="4" t="str">
        <x:v>PURPOSE: To evaluate the relationship between use of MRI of the lumbar spine for low back pain without prior conservative therapy and sociodemographic factors after the implementation of public reporting for Medicare's Hospital Outpatient Imaging Efficiency Measure for MRI Lumbar Spine for Low Back Pain (OP-8) metric.
MATERIALS AND METHODS: We conducted a secondary data analysis using a nationally representative sample of 2009 to 2014 Medicare claims to evaluate trends in use of conservative therapy before MRI of the lumbar spine. Continuously enrolled fee-for-service Medicare beneficiaries were included. We applied the same criteria used by Medicare to generate a measure consistent with OP-8. Regression was used to evaluate trends in OP-8 by reporting status (outpatient hospital or clinic) and beneficiary characteristics. Age, sex, and race from the Medicare denominator and area-level socioeconomic measures from the Area Health Resource File were used as covariates.
RESULTS: Use of conservative therapy before MRI increased regardless of OP-8 reporting status. Several sociodemographic characteristics were associated with the likelihood of receiving conservative therapy before MRI; beneficiaries were less likely to receive conservative therapy before MRI if they were male, older, black, Hispanic or Latino; if they lived in the West or in an area with more college graduates; or if they had low incomes. Beneficiaries were more likely to receive conservative therapy before MRI if they had poorer health or lived in areas with higher home values.
CONCLUSION: Variations in use of conservative therapy according to factors other than clinically relevant factors, such as health status, are worrying. Further strategies are needed to improve appropriateness and equity in the provision of diagnostic imaging.</x:v>
      </x:c>
      <x:c r="C48" s="4" t="str">
        <x:v>Sociodemographic Variation in the Use of Conservative Therapy Before MRI of the Lumbar Spine for Low Back Pain in the Era of Public Reporting.</x:v>
      </x:c>
      <x:c r="D48" s="4" t="str">
        <x:v>https://pubmed.ncbi.nlm.nih.gov/30947888/</x:v>
      </x:c>
      <x:c r="E48" s="4" t="str">
        <x:v>research/review_2026-09-21/pubmed/raw/priority_metadata_003200.xml</x:v>
      </x:c>
    </x:row>
    <x:row r="49" ht="249" customHeight="1">
      <x:c r="A49" s="10" t="str">
        <x:v>41067704</x:v>
      </x:c>
      <x:c r="B49" s="10" t="str">
        <x:v>PURPOSE: Intravitreal (IVT) injections are among the most commonly performed procedures in ophthalmology. Although generally safe, they do carry some risk. This study aimed to characterize lawsuits related to IVT injections and identify trends and actionable insights relevant to clinical practice and patient safety.
DESIGN: Retrospective medicolegal case review.
SUBJECTS: Sixty IVT injection-related lawsuits.
METHODS: The Westlaw database was queried for lawsuits involving IVT injections from 2000 to 2025 using key search terms. Trial court documents, trial court orders, cases, verdicts, and settlements were reviewed. Because all data were publicly available, institutional review board review was not required.
MAIN OUTCOME MEASURES: Case characteristics and litigation outcomes cited in lawsuits.
RESULTS: Sixty IVT-related lawsuits were identified. Louisiana (32%) and California (20%) were the most commonly involved states. The most frequently cited agents were triamcinolone (33.3%), brolucizumab (13.3%), and bevacizumab (13.3%). Male patients comprised the most common plaintiff group (43%). Lawsuits against physicians accounted for 13% (n = 8) of cases, often involving male attending physicians (75%), Veterans Affairs settings (63%), and residents (38%). Common allegations included injection-related injuries and delayed treatment. Outcomes were primarily in favor of the defendant (50%), followed by settlements (undisclosed) in 2 cases (25%): 1 in favor of the plaintiff with an award of $1 607 683 (12.5%) and 1 with an unknown outcome (12.5%). Lawsuits (n = 37) against manufacturers commonly cited product liability (97%) and failure to warn (94%) as the legal claims, and often involved contaminated injections (57%). Twenty-nine cases (78.4%) were settled, including 18 patient claims against manufacturers (median settlement: $193 563; interquartile range [IQR]: $109 118-$258 161), 7 cases (18.9%) were decided for the defendant, and 1 (2.7%) for the plaintiff. Fifteen cases involved fraud claims, primarily Medicare fraud (n = 8) and improper billing (n = 4); among these, 4 were settled, 4 decided for the plaintiff, 4 for the defendant, and 3 remain ongoing. Eight fraud cases included financial awards (median: $2 335 919; IQR: $366 169-$34 999 361).
CONCLUSIONS: Three key areas of vulnerability emerged: procedural lapses, inadequate informed consent, and regulatory failures. Addressing these issues may reduce litigation risk and enhance patient safety surrounding IVT injections.
FINANCIAL DISCLOSURE(S): Proprietary or commercial disclosure may be found in the Footnotes and Disclosures at the end of this article.</x:v>
      </x:c>
      <x:c r="C49" s="10" t="str">
        <x:v>Litigation Involving Intravitreal Injections in Ophthalmology: A Review of Legal Claims and Outcomes.</x:v>
      </x:c>
      <x:c r="D49" s="10" t="str">
        <x:v>https://pubmed.ncbi.nlm.nih.gov/41067704/</x:v>
      </x:c>
      <x:c r="E49" s="10" t="str">
        <x:v>research/review_2026-09-21/pubmed/raw/priority_metadata_006200.xml</x:v>
      </x:c>
    </x:row>
    <x:row r="50" ht="225" customHeight="1">
      <x:c r="A50" s="4" t="str">
        <x:v>9679997</x:v>
      </x:c>
      <x:c r="B50" s="4" t="str">
        <x:v>PURPOSE: To explore the association between the attitudes of primary care physicians toward uncertainty and risk taking, as measured by a validated survey, with resource use in a Medicare HMO.
DESIGN: All primary-care internists (n=20) in a large, multi-specialty clinic were surveyed to measure their attitudes about uncertainty and risk taking using three previously developed scales. Results were linked with administrative data for 792 consecutive patients in a recently created Medicare HMO. The patients' index visits occurred between April 1, 1995, and November 30, 1995.
ANALYSIS: Charges stemming from several claim types (primary care and subspecialty physician, laboratory, radiology, and ambulatory procedures) in the 30 days following the index visit were summed. The physician scales were dichotomized at the median to seek unadjusted associations with charges. Generalized estimation equations were used to account for the correlation of charges resulting from patients' being nested within physicians and adjusted for physician characteristics (age, sex, years in practice) and patient characteristics (age, sex, comorbidity).
MAIN RESULTS: The physician response rate was 90%. Most physicians (90%) were male. The mean age of the patients was 74 years, and 69% were female. The mean cost (+/-SD) per patient was $621.61+/-1,737.31. From the unadjusted analysis, high "anxiety due to uncertainty" was associated with higher patient charges ($197.85 vs $158.21, p=0.01). From the multivariable analysis, each standard deviation increase in "anxiety due to uncertainty" (3.5 points) corresponded to a 17% increase in mean charges (p &lt; 0.01) and each similar increase in "reluctance to disclose uncertainty to patients" (1.92 points) corresponded to a 12% increase (p=0.03). However, increasing "reluctance to disclose mistakes to physicians" and increasing physician risk-taking propensity were associated with decreased total charges [-10% per standard deviation (1.34 points), p=0.02, and -8% per standard deviation (3.26 points), p=0.02, respectively].
CONCLUSION: Physician attitudes toward uncertainty were significantly associated with patient charges. Further investigation may improve prediction of patient-care charges, offer insight into the medical decision-making process, and perhaps clarify the relationship between cost, uncertainty, and quality of care.</x:v>
      </x:c>
      <x:c r="C50" s="4" t="str">
        <x:v>The association of physician attitudes about uncertainty and risk taking with resource use in a Medicare HMO.</x:v>
      </x:c>
      <x:c r="D50" s="4" t="str">
        <x:v>https://pubmed.ncbi.nlm.nih.gov/9679997/</x:v>
      </x:c>
      <x:c r="E50" s="4" t="str">
        <x:v>research/review_2026-09-21/pubmed/raw/priority_metadata_000200.xml</x:v>
      </x:c>
    </x:row>
    <x:row r="51" ht="165" customHeight="1">
      <x:c r="A51" s="10" t="str">
        <x:v>32282264</x:v>
      </x:c>
      <x:c r="B51" s="10" t="str">
        <x:v>PURPOSE: Routine use of extended-fraction (&gt; 10 fractions) radiation therapy (RT) for palliation of bone metastases is recognized as a low-value intervention by the American Society for Radiation Oncology. We examined contemporary practice patterns of, and physician characteristics associated with extended-fraction RT use.
MATERIALS AND METHODS: We conducted a retrospective cohort study using Medicare fee-for-service data. We included patients who underwent 2- or 3-dimensional external-beam RT for bone metastases between January 1, 2016, and December 31, 2018. Physicians treating &gt; 10 patients over the study period were analyzed for their individual practice. Hierarchic logistic regression modeling was used to identify patient- and physician-level factors associated with extended-fraction RT use.
RESULTS: A total of 12,221 patients (median age, 75.6 years; 40.9% women, 87.6% white) were included. The rate of extended-fraction RT was 23.4%. A total of 1,432 physicians treated any patient. Among the 382 physicians treating &gt; 10 patients, 127 (33.2%) used extended-fraction RT &gt; 30% (consensus threshold). Physician factors associated with decreased odds of extended-fraction RT were years since medical school graduation (≤ 10 years and 11-20 years v ≥ 31 years: adjusted odds ratio [aOR], 0.32 [95% CI, 0.20 to 0.51] and 0.64 [95% CI, 0.44 to 0.93]) and practicing in the Northeast or Midwest versus the South (aOR, 0.36 [95% CI, 0.22 to 0.58] and 0.48 [95% CI, 0.31 to 0.74]). Physicians treating &gt; 20 patients (v 11-14 patients) over the study period had increased odds of delivering extended-fraction RT (aOR, 1.53 [95% CI, 1.10 to 2.12]).
CONCLUSION: In this study, almost one fourth of patients received extended-fraction RT, and one third of physicians had an extended-fraction RT use rate of &gt; 30%. Personalized feedback of performance data, clinical pathways and peer review, and updated reimbursement models are potential mechanisms to address this low-value care.</x:v>
      </x:c>
      <x:c r="C51" s="10" t="str">
        <x:v>Physician Practice Variability in the Use of Extended-Fraction Radiation Therapy for Bone Metastases: Are We Choosing Wisely?</x:v>
      </x:c>
      <x:c r="D51" s="10" t="str">
        <x:v>https://pubmed.ncbi.nlm.nih.gov/32282264/</x:v>
      </x:c>
      <x:c r="E51" s="10" t="str">
        <x:v>research/review_2026-09-21/pubmed/raw/priority_metadata_003600.xml</x:v>
      </x:c>
    </x:row>
    <x:row r="52" ht="141" customHeight="1">
      <x:c r="A52" s="4" t="str">
        <x:v>30650175</x:v>
      </x:c>
      <x:c r="B52" s="4" t="str">
        <x:v>Total shoulder arthroplasty (TSA) has proved a cost-effective, reproducible procedure for multiple shoulder pathologies. As utilization of TSA continues to grow, it is important to investigate procedure diversity, training, and other characteristics of surgeons performing TSA. To identify surgeons performing TSA in the Medicare population, the Medicare Provider Utilization and Payment Databases from 2012 through 2014 were used. This dataset includes any provider who bills Medicare &gt;10 times with a single billing code. A web-based search was performed for each physician performing &gt;10 TSA in all years of the study to identify their surgical training characteristics. Between 2012 and 2014, 1374 surgeons (39 females [2.8%]) performed &gt;10 TSA in Medicare patients in at least 1 year (71,973 TSA). Only 44.3% (609/1374) of surgeons met this threshold for all 3 years (55,538 TSA). Of these 609 surgeons, 191 (31.3%) were shoulder and elbow fellowship trained (21,444 TSA). Shoulder and elbow fellowship-trained surgeons were at earlier points in their careers and practiced in large referral-based centers with other surgeons performing TSA. In addition to TSA, surgeons performed other non-arthroplasty shoulder procedures (80.2% of surgeons), total knee arthroplasty (46.3%), repairs of traumatic injuries (29.8%), total hip arthroplasty (27.8%), non-arthroplasty knee surgeries (27.2%), elbow procedures (19.6%), and hand surgery (15.4%) during the study period. With less than one-third of TSA performed by shoulder and elbow fellowship-trained surgeons with consistent moderate-volume practices, the impact of consistent high-volume practices and targeted fellowship training on quality must be determined.</x:v>
      </x:c>
      <x:c r="C52" s="4" t="str">
        <x:v>The Characteristics of Surgeons Performing Total Shoulder Arthroplasty: Volume Consistency, Training, and Specialization.</x:v>
      </x:c>
      <x:c r="D52" s="4" t="str">
        <x:v>https://pubmed.ncbi.nlm.nih.gov/30650175/</x:v>
      </x:c>
      <x:c r="E52" s="4" t="str">
        <x:v>research/review_2026-09-21/pubmed/raw/priority_metadata_003200.xml</x:v>
      </x:c>
    </x:row>
    <x:row r="53" ht="153" customHeight="1">
      <x:c r="A53" s="10" t="str">
        <x:v>32006487</x:v>
      </x:c>
      <x:c r="B53" s="10" t="str">
        <x:v>PURPOSE: To characterize and compare clinical productivity and payments between female and male oral and maxillofacial surgeons (OMSs) serving Medicare beneficiaries in 2017.
MATERIALS AND METHODS: This cross-sectional study was composed of Medicare Provider Utilization and Payment Data from 2017. Providers were included if they were labeled as maxillofacial surgeons. The primary outcome variable was Medicare payment. Secondary outcome variables included clinical productivity (number of charges), unique billing codes, mean payment per charge, and beneficiary hierarchical condition category. Descriptive statistics and pair-wise comparisons were computed at an α level of .05.
RESULTS: The analysis cohort was composed of 737 distinct OMSs, of whom 58 were women. Although female surgeons recorded higher mean clinical productivity, total Medicare payments, and number of unique Healthcare Common Procedure Coding System billing codes relative to male surgeons in both the facility and office settings, the differences were not statistically different. Payment per charge did not differ significantly between genders in the office setting. In the facility setting, women were reimbursed $63.74 per charge whereas men were reimbursed $109.69 per charge (P &lt; .02). Female OMSs treated more medically complex patients relative to male OMSs (P &lt; .02).
CONCLUSIONS: Clinical productivity and total Medicare payments were similar between genders in both the facility and office settings, disputing prior surveys that illustrated bias about the productivity and ability of female OMSs. Female OMSs earned, on average, less per submitted charge in facility settings, which may be due to differences in documentation. The reason for this difference warrants further study.</x:v>
      </x:c>
      <x:c r="C53" s="10" t="str">
        <x:v>Clinical Productivity and Medicare Payments Among Female and Male Oral and Maxillofacial Surgeons.</x:v>
      </x:c>
      <x:c r="D53" s="10" t="str">
        <x:v>https://pubmed.ncbi.nlm.nih.gov/32006487/</x:v>
      </x:c>
      <x:c r="E53" s="10" t="str">
        <x:v>research/review_2026-09-21/pubmed/raw/priority_metadata_003600.xml</x:v>
      </x:c>
    </x:row>
    <x:row r="54" ht="165" customHeight="1">
      <x:c r="A54" s="4" t="str">
        <x:v>33170867</x:v>
      </x:c>
      <x:c r="B54" s="4" t="str">
        <x:v>INTRODUCTION: Diabetes imposes large health and financial burdens on Medicare beneficiaries. Type 2 diabetes can be prevented or delayed through lifestyle modification programs. In 2018, Medicare began to offer the Medicare Diabetes Prevention Program (MDPP), a lifestyle intervention, to eligible beneficiaries nationwide. The number of MDPP-eligible beneficiaries is not known, but this information is essential in efforts to expand the program and increase enrollment. This study aimed to estimate the number and spatial variation of MDPP-eligible Part B beneficiaries at the county level and by urban-rural classification.
METHODS: Data from 2011-2016 National Health and Nutrition Examination Surveys and a survey-weighted logistic regression model were used to estimate proportions of prediabetes in the United States by sex, age, and race/ethnicity based on the MDPP eligibility criteria. The results from the predictive model were applied to 2015 Medicare Part B beneficiaries to estimate the number of MDPP-eligible beneficiaries. The National Center for Health Statistics' Urban-Rural Classification Scheme for Counties from 2013 were used to define urban and rural categories.
RESULTS: An estimated 5.2 million (95% CI = 3.5-7.0 million) Part B beneficiaries were eligible for the MDPP. By state, estimates ranged from 13,000 (95% CI = 8,500-18,000) in Alaska to 469,000 (95% CI = 296,000-641,000) in California. There were 2,149 counties with ≤1,000 eligible beneficiaries and 11 with &gt;25,000. Consistent with demographic patterns, urban counties had more eligible beneficiaries than rural counties.
CONCLUSIONS: These estimates could be used to plan locations for new MDPPs and reach eligible Part B beneficiaries for enrollment.</x:v>
      </x:c>
      <x:c r="C54" s="4" t="str">
        <x:v>Estimated number of eligible Part B beneficiaries for the medicare diabetes prevention program at the county level and by urban-rural classification.</x:v>
      </x:c>
      <x:c r="D54" s="4" t="str">
        <x:v>https://pubmed.ncbi.nlm.nih.gov/33170867/</x:v>
      </x:c>
      <x:c r="E54" s="4" t="str">
        <x:v>research/review_2026-09-21/pubmed/raw/priority_metadata_003800.xml</x:v>
      </x:c>
    </x:row>
    <x:row r="55" ht="84" customHeight="1">
      <x:c r="A55" s="10" t="str">
        <x:v>11482118</x:v>
      </x:c>
      <x:c r="B55" s="10" t="str">
        <x:v>The use of home health care (HHC) services among Medicare end stage renal disease (ESRD) enrollees remains an under-studied area. In this article, the authors report sociodemographic characteristics and patterns of HHC utilization by Medicare-covered ESRD patients. The authors found that those who were female, age 85 or over, diabetic, and residing in the New England or West South Central census divisions were more likely to use HHC services and were also more intensive users. Analysis of use patterns in such high-risk populations is necessary to ensure that health policy changes do not have unintended consequences for vulnerable patients.</x:v>
      </x:c>
      <x:c r="C55" s="10" t="str">
        <x:v>Use of home health care by ESRD and Medicare beneficiaries.</x:v>
      </x:c>
      <x:c r="D55" s="10" t="str">
        <x:v>https://pubmed.ncbi.nlm.nih.gov/11482118/</x:v>
      </x:c>
      <x:c r="E55" s="10" t="str">
        <x:v>research/review_2026-09-21/pubmed/raw/priority_metadata_000400.xml</x:v>
      </x:c>
    </x:row>
    <x:row r="56" ht="405" customHeight="1">
      <x:c r="A56" s="4" t="str">
        <x:v>23074496</x:v>
      </x:c>
      <x:c r="B56" s="4" t="str">
        <x:v>OBJECTIVE: To assess the effectiveness, and cost effectiveness of EECP in patients with severe anginal symptoms, secondary to chronic coronary disease, who are unresponsive to exhaustive pharmacotherapy and not candidates for surgical/percutaneous revascularization procedures (e.g., angioplasty, coronary bypass surgery). To assess the effectiveness, and cost effectiveness of EECP in patients with heart failure.
CLINICAL NEED: ANGINA: Angina is a clinical syndrome characterized by discomfort in the chest, jaw, shoulder, back or arm. Angina usually occurs in patients with coronary artery disease (CAD) involving ≥1 large epicardial artery. However it can also occur in people with valvular heart disease, hypertrophic cardiomyopathy, and uncontrolled hypertension. CONVENTIONAL APPROACHES TO RESTORING THE BALANCE BETWEEN OXYGEN SUPPLY AND DEMAND FOCUS ON THE DISRUPTION OF THE UNDERLYING DISEASE THROUGH: drug therapy (β blockers, calcium channel blockers, nitrates, antiplatelet agents, ACE inhibitors, statins); life-style modifications (smoking cessation, weight loss); or revascularization techniques such as coronary artery bypass graft surgery (CABG) or percutaneous coronary interventions (PCI). (1) Limitations of each of these approaches include: adverse drug effects, procedure-related mortality and morbidity, restenosis after PCI, and time dependent graft attrition after CABG. Furthermore, an increasing number of patients are not appropriate candidates for standard revascularization options, due to co-morbid conditions (HF, peripheral vascular disease), poor distal coronary artery targets, and patient preference. The morbidity and mortality associated with repeat surgical revascularization procedures are significantly higher, and often excludes these patients from consideration for further revascularizations. (2) Patients with CAD who have chronic ischemic symptoms that are unresponsive to both conventional medical therapy and revascularization techniques have refractory angina pectoris. It has been estimated that greater than 100,000 patients each year in the US may be diagnosed as having this condition. (3) Patients with refractory angina have marked limitation of ordinary physical activity or are unable to perform any ordinary physical activity without discomfort (CCS functional class III/IV). Also, there must be some objective evidence of ischemia as demonstrated by exercise treadmill testing, stress imaging studies or coronary physiologic studies. (1) Dejongste et al. (4)estimated that the prevalence of chronic refractory angina is about 100,000 patients in the United States. This would correspond to approximately 3,800 (100,000 x 3.8% [Ontario is approximately 3.8% of the population of the United States]) patients in Ontario having chronic refractory angina.
HEART FAILURE: Heart failure results from any structural or functional cardiac disorder that impairs the ability of the heart to act as a pump. A recent study (5) revealed 28,702 patients were hospitalized for first-time HF in Ontario between April 1994 and March 1997. Women comprised 51% of the cohort. Eighty-five percent were aged 65 years or older, and 58% were aged 75 years or older. Patients with chronic HF experience shortness of breath, a limited capacity for exercise, high rates of hospitalization and rehospitalization, and die prematurely. (6) The New York Heart Association (NYHA) has provided a commonly used functional classification for the severity of HF (7): CLASS I: No limitation of physical activity. No symptoms with ordinary exertion.CLASS II: Slight limitations of physical activity. Ordinary activity causes symptoms.CLASS III: Marked limitation of physical activity. Less than ordinary activity causes symptoms. Asymptomatic at rest.CLASS IV: Inability to carry out any physical activity without discomfort. Symptoms at rest.The National Heart, Lung, and Blood Institute (7) estimates that 35% of patients with HF are in functional NYHA class I; 35% are in class II; 25%, class III; and 5%, class IV. Surveys (8) suggest that from 5% to 15% of patients with HF have persistent severe symptoms, and that the remainder of patients with HF is evenly divided between those with mild and moderately severe symptoms. To date, the diagnosis and management of chronic HF has concentrated on patients with the clinical syndrome of HF accompanied by severe left ventricular systolic dysfunction. Major changes in treatment have resulted from a better understanding of the pathophysiology of HF and the results of large clinical trials. Treatment for chronic HF includes lifestyle management, drugs, cardiac surgery, or implantable pacemakers and defibrillators. Despite pharmacologic advances, which include diuretics, angiotensin-converting enzyme inhibitors, beta-blockers, spironolactone, and digoxin, many patients remain symptomatic on maximally tolerated doses. (6) THE TECHNOLOGY: Patients are typically treated by a trained technician in a medically supervised environment for 1 hour daily for a total of 35 hours over 7 weeks. The procedure involves sequential inflation and deflation of compressible cuffs wrapped around the patient's calves, lower thighs and upper thighs. In addition to 3 sets of cuffs, the patient has finger plethysmogram and electrocardiogram (ECG) attachments that are connected to a control and display console. External counterpulsation was used in the United States to treat cardiogenic shock after acute myocardial infarction. (9;10) More recently, an enhanced version namely "enhanced external counterpulsation" (EECP) was introduced as a noninvasive procedure for outpatient treatment of patients with severe, uncontrollable cardiac ischemia. EECP is said to increase coronary perfusion pressure and reduce the myocardial oxygen demand. Currently, EECP is not applicable for all patients with refractory angina pectoris. For example, many patients are considered ineligible for therapy due to co-morbidities, including those with severe pulmonary vascular disease, deep vein thrombosis, phlebitis and irregular heart rhythms, and heart failure. (1) Very recently, investigation began into EECP as an adjunctive treatment for patients with HF. Anecdotal reports suggested that EECP may benefit patients with coronary disease and left ventricular dysfunction. The safety and effectiveness of EECP in patients with symptomatic heart failure and coronary disease and its role in patients with nonischemic heart failure secondary to LV dysfunction is unclear. Furthermore, the safety and effectiveness of EECP in the different stages of HF and whether it is only for patients who are refractive to pharmacotherapy is unknown. 2003 HEALTH TECHNOLOGY ASSESSMENT BY THE MEDICAL ADVISORY SECRETARIAT: The Medical Advisory Secretariat health technology assessment (originally published in February 2003) reported on the effectiveness of EECP for patients with angina and HF. The report concluded that there was insufficient evidence to support the use of EECP in patients with refractory stable CCS III/IV angina as well as insufficient evidence to support the use of EECP in patients with HF.
REVIEW STRATEGY: The aim of this literature review was to assess the effectiveness, safety, and cost effectiveness of EECP for the treatment of refractory stable CCS III/IV angina or HF. The standard search strategy used by the Medical Advisory Secretariat was used. This included a search of all international health technology assessments as well as a search of the medical literature from December 2002 to March 2006. A modification of the GRADE approach (11) was used to make judgments about the quality of evidence and strength of recommendations systematically and explicitly. GRADE provides a framework for structured reflection and can help to ensure that appropriate judgments are made. GRADE takes into account a study's design, quality, consistency, and directness in judging the quality of evidence for each outcome. The balance between benefits and harms, quality of evidence, applicability, and the certainty of the baseline risks are considered in judgments about the strength of recommendations.
SUMMARY OF FINDINGS: The Cochrane and INAHTA databases yielded 3 HTAs or systematic reviews on EECP treatment (Blue Cross Blue Shield Technology Evaluation Center [BCBS TEC], ECRI, and the Centers for Medicare and Medicaid Services [CMS]). A search of Medline and Embase December 2005 - March 2006 (after the literature search cutoff from the most recent HTA) was conducted using key words enhanced external counterpulsation, EECP, angina, myocardial ischemia, congestive heart failure. This search produced 1 study which met the inclusion criteria. This level 4a study was inferior in quality to the RCT which formed the basis of the 2003 Medical Advisory Secretariat recommendation. BCBS reviewed the evidence through November 2005 to determine if EECP improves health outcomes for refractory chronic stable angina pectoris or chronic stable HF. (12) BCBS concluded that the available evidence is not sufficient to permit conclusions of the effect of EECP on health outcomes. Both controlled trials had methodologic flaws (MUST EECP and MUST EECP quality of life studies). The case series and observational studies for both indications while suggestive of a treatment benefit from EECP have shortcomings as well. On March 20 2006, CMS posted their proposed coverage decision memorandum for external counterpulsation therapy. (ABSTRACT TRUNCATED)</x:v>
      </x:c>
      <x:c r="C56" s="4" t="str">
        <x:v>Enhanced External Counterpulsation (EECP): An Evidence-Based Analysis.</x:v>
      </x:c>
      <x:c r="D56" s="4" t="str">
        <x:v>https://pubmed.ncbi.nlm.nih.gov/23074496/</x:v>
      </x:c>
      <x:c r="E56" s="4" t="str">
        <x:v>research/review_2026-09-21/pubmed/raw/priority_metadata_001600.xml</x:v>
      </x:c>
    </x:row>
    <x:row r="57" ht="165" customHeight="1">
      <x:c r="A57" s="10" t="str">
        <x:v>39587383</x:v>
      </x:c>
      <x:c r="B57" s="10" t="str">
        <x:v>OBJECTIVE: Our objective was to evaluate antiretroviral therapy (ART) prescription rates over time among US Medicare enrolees with HIV and to describe disparities in ART prescription and associated factors.
METHOD: We constructed successive cross-sectional cohorts including adult enrollees with HIV and fee-for-service coverage and Part D enrolment in US Medicare between 2007 and 2019. We calculated the percentage of receipt of any ART prescription (ART%) in a calendar year by sex, age, and original Medicare entitlement and calculated age-sex standardized ART% over time. We used multivariable logistic regression to assess the association between ART prescription and sociodemographic factors and chronic conditions by age strata (&lt;65, ≥65 years) in 2019.
RESULTS: ART% increased over time and was highest among people with HIV aged 50-64 years in 2019: 95% in males and 92% in females. Multivariable analysis showed that female sex was associated with less ART%, with odds ratios (ORs) of 0.65 (95% confidence interval [CI] 0.60-0.70) and 0.34 (95% CI 0.30-0.39), than male sex in those aged &lt;65 and ≥65 years, respectively. The youngest and oldest enrollees had lower ART use (e.g., OR 0.43 [95% CI 0.34-0.54] for 18-29 vs. 50-64 years; OR 0.34 [95% CI 0.30-0.39] for ≥80 vs. 65-69 years). The top conditions associated with less ART included dementia and alcohol use disorder. Other factors included no Part D low-income subsidy, non-Hispanic white race, and Midwest residence.
CONCLUSIONS: ART use increased over time in US Medicare enrollees. Non-Hispanic white, female, and the youngest and oldest enrollees received less ART. Multimorbidity, substance use, and dementia were associated with less ART use. Research to overcome these disparities is needed.</x:v>
      </x:c>
      <x:c r="C57" s="10" t="str">
        <x:v>Trends and disparities in antiretroviral therapy prescription rates among US Medicare beneficiaries with HIV.</x:v>
      </x:c>
      <x:c r="D57" s="10" t="str">
        <x:v>https://pubmed.ncbi.nlm.nih.gov/39587383/</x:v>
      </x:c>
      <x:c r="E57" s="10" t="str">
        <x:v>research/review_2026-09-21/pubmed/raw/priority_metadata_005600.xml</x:v>
      </x:c>
    </x:row>
  </x:sheetData>
  <x:pageMargins left="0.7" right="0.7" top="0.75" bottom="0.75" header="0.3" footer="0.3"/>
  <x:tableParts count="1">
    <x:tablePart xmlns:r="http://schemas.openxmlformats.org/officeDocument/2006/relationships" r:id="R0a26f02ffc5a4a8d"/>
  </x:tableParts>
</x:worksheet>
</file>

<file path=xl/worksheets/sheet6.xml><?xml version="1.0" encoding="utf-8"?>
<x:worksheet xmlns:x="http://schemas.openxmlformats.org/spreadsheetml/2006/main">
  <x:sheetPr>
    <x:tabColor rgb="FF166B70"/>
  </x:sheetPr>
  <x:sheetViews>
    <x:sheetView showGridLines="0" workbookViewId="0">
      <x:pane xSplit="2" ySplit="7" topLeftCell="C8" activePane="bottomRight" state="frozen"/>
    </x:sheetView>
  </x:sheetViews>
  <x:sheetFormatPr defaultRowHeight="15"/>
  <x:cols>
    <x:col min="1" max="1" width="26.670000076293945" hidden="0" customWidth="1"/>
    <x:col min="2" max="2" width="122.22000122070312" hidden="0" customWidth="1"/>
    <x:col min="3" max="3" width="12.220000267028809" hidden="0" customWidth="1"/>
    <x:col min="4" max="4" width="30" hidden="0" customWidth="1"/>
    <x:col min="5" max="5" width="13.329999923706055" hidden="0" customWidth="1"/>
    <x:col min="6" max="6" width="53.33000183105469" hidden="0" customWidth="1"/>
    <x:col min="7" max="7" width="57.779998779296875" hidden="0" customWidth="1"/>
  </x:cols>
  <x:sheetData>
    <x:row r="1">
      <x:c r="A1" s="4"/>
      <x:c r="B1" s="4"/>
      <x:c r="C1" s="4"/>
      <x:c r="D1" s="4"/>
      <x:c r="E1" s="4"/>
      <x:c r="F1" s="4"/>
      <x:c r="G1" s="4"/>
    </x:row>
    <x:row r="2" ht="34.5" customHeight="1">
      <x:c r="A2" s="4"/>
      <x:c r="B2" s="5" t="str">
        <x:v>Executed search log</x:v>
      </x:c>
      <x:c r="C2" s="4"/>
      <x:c r="D2" s="4"/>
      <x:c r="E2" s="4"/>
      <x:c r="F2" s="4"/>
      <x:c r="G2" s="4"/>
    </x:row>
    <x:row r="3" ht="37.5" customHeight="1">
      <x:c r="A3" s="4"/>
      <x:c r="B3" s="4" t="str">
        <x:v>Development search executed before PRESS review. Search results are not included studies. Whitespace is reflowed here; exact submitted queries, translations, timestamps, warnings and hashes are archived.</x:v>
      </x:c>
      <x:c r="C3" s="4"/>
      <x:c r="D3" s="4"/>
      <x:c r="E3" s="4"/>
      <x:c r="F3" s="4"/>
      <x:c r="G3" s="4"/>
    </x:row>
    <x:row r="4">
      <x:c r="A4" s="4"/>
      <x:c r="B4" s="4"/>
      <x:c r="C4" s="4"/>
      <x:c r="D4" s="4"/>
      <x:c r="E4" s="4"/>
      <x:c r="F4" s="4"/>
      <x:c r="G4" s="4"/>
    </x:row>
    <x:row r="5">
      <x:c r="A5" s="4"/>
      <x:c r="B5" s="4"/>
      <x:c r="C5" s="4"/>
      <x:c r="D5" s="4"/>
      <x:c r="E5" s="4"/>
      <x:c r="F5" s="4"/>
      <x:c r="G5" s="4"/>
    </x:row>
    <x:row r="6">
      <x:c r="A6" s="4"/>
      <x:c r="B6" s="4"/>
      <x:c r="C6" s="4"/>
      <x:c r="D6" s="4"/>
      <x:c r="E6" s="4"/>
      <x:c r="F6" s="4"/>
      <x:c r="G6" s="4"/>
    </x:row>
    <x:row r="7" ht="33" customHeight="1">
      <x:c r="A7" s="9" t="str">
        <x:v>Run / stage</x:v>
      </x:c>
      <x:c r="B7" s="9" t="str">
        <x:v>Query (whitespace reflowed) / operation</x:v>
      </x:c>
      <x:c r="C7" s="9" t="str">
        <x:v>Record count</x:v>
      </x:c>
      <x:c r="D7" s="9" t="str">
        <x:v>Role</x:v>
      </x:c>
      <x:c r="E7" s="9" t="str">
        <x:v>Execution date</x:v>
      </x:c>
      <x:c r="F7" s="9" t="str">
        <x:v>Archive path (relative to review folder)</x:v>
      </x:c>
      <x:c r="G7" s="9" t="str">
        <x:v>Qualification</x:v>
      </x:c>
    </x:row>
    <x:row r="8" ht="72" customHeight="1">
      <x:c r="A8" s="4" t="str">
        <x:v>PM-CORE-20260921-R1</x:v>
      </x:c>
      <x:c r="B8" s="4" t="str">
        <x:v>( "Medicare"[Mesh] OR medicare[tiab] OR "Medicare Advantage"[tiab] OR "Medicare Part D"[tiab] OR "Medicare Part B"[tiab] OR "Medicare Part A"[tiab] ) AND ( "Reimbursement Mechanisms"[Mesh] OR "Insurance Coverage"[Mesh] OR "Health Services Accessibility"[Mesh] OR "Health Expenditures"[Mesh] OR "Fees and Charges"[Mesh] OR "Formularies as Topic"[Mesh] OR reimburs*[tiab] OR coverag*[tiab] OR payment*[tiab] OR "relative value"[tiab] OR RVU[tiab] OR RVUs[tiab] OR formular*[tiab] OR "prior authorization"[tiab] OR "step therapy"[tiab] OR "cost sharing"[tiab] OR "out of pocket"[tiab] OR copay*[tiab] OR coinsurance[tiab] OR deductible*[tiab] OR affordab*[tiab] OR access*[tiab] OR utilization[tiab] OR utilisation[tiab] OR denial*[tiab] OR denied[tiab] OR delay*[tiab] OR "unmet need"[tiab] )</x:v>
      </x:c>
      <x:c r="C8" s="19" t="n">
        <x:v>43904</x:v>
      </x:c>
      <x:c r="D8" s="4" t="str">
        <x:v>Identification — current core</x:v>
      </x:c>
      <x:c r="E8" s="4" t="str">
        <x:v>2026-09-21</x:v>
      </x:c>
      <x:c r="F8" s="4" t="str">
        <x:v>pubmed/manifest.json; raw search partitions</x:v>
      </x:c>
      <x:c r="G8" s="4" t="str">
        <x:v>Corrected MeSH heading added 60 IDs, removed 0.</x:v>
      </x:c>
    </x:row>
    <x:row r="9" ht="57" customHeight="1">
      <x:c r="A9" s="10" t="str">
        <x:v>PM-SUPP-20260921</x:v>
      </x:c>
      <x:c r="B9" s="10" t="str">
        <x:v>( "Sex Factors"[Mesh] OR sex[tiab] OR gender[tiab] OR women[tiab] OR men[tiab] OR female*[tiab] OR male*[tiab] ) AND ( reimburs*[tiab] OR payment*[tiab] OR "relative value"[tiab] OR RVU[tiab] OR RVUs[tiab] OR "physician fee schedule"[tiab] OR "resource based relative value"[tiab] OR "insurance coverage"[tiab] OR "out of pocket"[tiab] )</x:v>
      </x:c>
      <x:c r="C9" s="20" t="n">
        <x:v>16866</x:v>
      </x:c>
      <x:c r="D9" s="10" t="str">
        <x:v>Identification — supplementary</x:v>
      </x:c>
      <x:c r="E9" s="10" t="str">
        <x:v>2026-09-21</x:v>
      </x:c>
      <x:c r="F9" s="10" t="str">
        <x:v>pubmed/manifest.json; raw search partitions</x:v>
      </x:c>
      <x:c r="G9" s="10" t="str">
        <x:v>No Medicare restriction; worldwide/other-payer hits still require screening.</x:v>
      </x:c>
    </x:row>
    <x:row r="10" ht="96" customHeight="1">
      <x:c r="A10" s="4" t="str">
        <x:v>PM-PRIORITY-20260921-R1</x:v>
      </x:c>
      <x:c r="B10" s="4" t="str">
        <x:v>((( "Medicare"[Mesh] OR medicare[tiab] OR "Medicare Advantage"[tiab] OR "Medicare Part D"[tiab] OR "Medicare Part B"[tiab] OR "Medicare Part A"[tiab] ) AND ( "Reimbursement Mechanisms"[Mesh] OR "Insurance Coverage"[Mesh] OR "Health Services Accessibility"[Mesh] OR "Health Expenditures"[Mesh] OR "Fees and Charges"[Mesh] OR "Formularies as Topic"[Mesh] OR reimburs*[tiab] OR coverag*[tiab] OR payment*[tiab] OR "relative value"[tiab] OR RVU[tiab] OR RVUs[tiab] OR formular*[tiab] OR "prior authorization"[tiab] OR "step therapy"[tiab] OR "cost sharing"[tiab] OR "out of pocket"[tiab] OR copay*[tiab] OR coinsurance[tiab] OR deductible*[tiab] OR affordab*[tiab] OR access*[tiab] OR utilization[tiab] OR utilisation[tiab] OR denial*[tiab] OR denied[tiab] OR delay*[tiab] OR "unmet need"[tiab] )) AND (sex[tiab] OR gender[tiab] OR women[tiab] OR men[tiab] OR female*[tiab] OR male*[tiab])) OR ((sex[tiab] OR gender[tiab] OR women[tiab] OR men[tiab] OR female*[tiab] OR male*[tiab]) AND ("relative value"[tiab] OR RVU[tiab] OR RVUs[tiab] OR "physician fee schedule"[tiab]))</x:v>
      </x:c>
      <x:c r="C10" s="19" t="n">
        <x:v>6769</x:v>
      </x:c>
      <x:c r="D10" s="4" t="str">
        <x:v>Metadata priority subset only</x:v>
      </x:c>
      <x:c r="E10" s="4" t="str">
        <x:v>2026-09-21</x:v>
      </x:c>
      <x:c r="F10" s="4" t="str">
        <x:v>pubmed/manifest.json</x:v>
      </x:c>
      <x:c r="G10" s="4" t="str">
        <x:v>Subset of the union; not a third identification source or an eligibility filter.</x:v>
      </x:c>
    </x:row>
    <x:row r="11" ht="57" customHeight="1">
      <x:c r="A11" s="10" t="str">
        <x:v>UNION</x:v>
      </x:c>
      <x:c r="B11" s="10" t="str">
        <x:v>Current core OR supplementary; exact PMID duplicate removal</x:v>
      </x:c>
      <x:c r="C11" s="20" t="n">
        <x:v>58686</x:v>
      </x:c>
      <x:c r="D11" s="10" t="str">
        <x:v>Unique identified records</x:v>
      </x:c>
      <x:c r="E11" s="10" t="str">
        <x:v>2026-09-21</x:v>
      </x:c>
      <x:c r="F11" s="10" t="str">
        <x:v>pubmed/current_unique_pmids.txt; deduplication_map.csv</x:v>
      </x:c>
      <x:c r="G11" s="10" t="str">
        <x:v>Only exact PMID duplicates resolved; report families and study overlap remain pending.</x:v>
      </x:c>
    </x:row>
    <x:row r="12" ht="57" customHeight="1">
      <x:c r="A12" s="4" t="str">
        <x:v>METADATA</x:v>
      </x:c>
      <x:c r="B12" s="4" t="str">
        <x:v>NCBI PubMed XML efetch for every unique PMID</x:v>
      </x:c>
      <x:c r="C12" s="19" t="n">
        <x:v>58686</x:v>
      </x:c>
      <x:c r="D12" s="4" t="str">
        <x:v>Complete bibliographic export</x:v>
      </x:c>
      <x:c r="E12" s="4" t="str">
        <x:v>2026-09-21</x:v>
      </x:c>
      <x:c r="F12" s="4" t="str">
        <x:v>pubmed/all_records.jsonl.gz; all_records.csv.gz; raw/</x:v>
      </x:c>
      <x:c r="G12" s="4" t="str">
        <x:v>Abstract absence retained explicitly. Original response and stored-file hashes retained.</x:v>
      </x:c>
    </x:row>
    <x:row r="13" ht="57" customHeight="1">
      <x:c r="A13" s="10" t="str">
        <x:v>CALIBRATION</x:v>
      </x:c>
      <x:c r="B13" s="10" t="str">
        <x:v>Purposive known sources plus deterministic SHA-256 ordering within topic keywords; see prepare_search.py</x:v>
      </x:c>
      <x:c r="C13" s="20" t="n">
        <x:v>50</x:v>
      </x:c>
      <x:c r="D13" s="10" t="str">
        <x:v>Preparation for two human reviewers</x:v>
      </x:c>
      <x:c r="E13" s="10" t="str">
        <x:v>2026-09-21</x:v>
      </x:c>
      <x:c r="F13" s="10" t="str">
        <x:v>calibration_50.csv; prepare_search.py</x:v>
      </x:c>
      <x:c r="G13" s="10" t="str">
        <x:v>Post-search selection; no independent human decisions entered.</x:v>
      </x:c>
    </x:row>
  </x:sheetData>
  <x:pageMargins left="0.7" right="0.7" top="0.75" bottom="0.75" header="0.3" footer="0.3"/>
  <x:tableParts count="1">
    <x:tablePart xmlns:r="http://schemas.openxmlformats.org/officeDocument/2006/relationships" r:id="R09a1b6cedfa440e3"/>
  </x:tableParts>
</x:worksheet>
</file>