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7ec2fff2a54ac3" /></Relationships>
</file>

<file path=xl/workbook.xml><?xml version="1.0" encoding="utf-8"?>
<x:workbook xmlns:x="http://schemas.openxmlformats.org/spreadsheetml/2006/main">
  <x:sheets>
    <x:sheet xmlns:r="http://schemas.openxmlformats.org/officeDocument/2006/relationships" name="Dashboard" sheetId="1" r:id="R2007a83ea3314dca"/>
    <x:sheet xmlns:r="http://schemas.openxmlformats.org/officeDocument/2006/relationships" name="Data &amp; Targets" sheetId="2" r:id="Rc58f342999e24784"/>
    <x:sheet xmlns:r="http://schemas.openxmlformats.org/officeDocument/2006/relationships" name="_Chart Helpers" sheetId="3" r:id="R49b10d61b5dd4a53"/>
    <x:sheet xmlns:r="http://schemas.openxmlformats.org/officeDocument/2006/relationships" name="Literature" sheetId="4" r:id="R15bd6e1ccd2647d7"/>
    <x:sheet xmlns:r="http://schemas.openxmlformats.org/officeDocument/2006/relationships" name="Drug formularies" sheetId="5" r:id="R8128f358beb9463b"/>
    <x:sheet xmlns:r="http://schemas.openxmlformats.org/officeDocument/2006/relationships" name="Procedure values" sheetId="6" r:id="R413cd9fc03a54c76"/>
    <x:sheet xmlns:r="http://schemas.openxmlformats.org/officeDocument/2006/relationships" name="Exclusions" sheetId="7" r:id="R13deac6ec35444cb"/>
    <x:sheet xmlns:r="http://schemas.openxmlformats.org/officeDocument/2006/relationships" name="Hypotheses" sheetId="8" r:id="R2e0b5cd93b45466c"/>
  </x:sheets>
</x:workbook>
</file>

<file path=xl/sharedStrings.xml><?xml version="1.0" encoding="utf-8"?>
<x:sst xmlns:x="http://schemas.openxmlformats.org/spreadsheetml/2006/main"/>
</file>

<file path=xl/styles.xml><?xml version="1.0" encoding="utf-8"?>
<x:styleSheet xmlns:x="http://schemas.openxmlformats.org/spreadsheetml/2006/main">
  <x:numFmts count="17">
    <x:numFmt numFmtId="164" formatCode="mmm\ yyyy"/>
    <x:numFmt numFmtId="165" formatCode="#,##0;[Red]\(#,##0\);\-"/>
    <x:numFmt numFmtId="166" formatCode="0.0%;[Red]\(0.0%\);\-"/>
    <x:numFmt numFmtId="167" formatCode="#,##0.0;[Red]\(#,##0.0\);\-"/>
    <x:numFmt numFmtId="168" formatCode="\$#,##0;[Red]\(\$#,##0\);\-"/>
    <x:numFmt numFmtId="169" formatCode="0.0\x"/>
    <x:numFmt numFmtId="170" formatCode="\$#,##0.0;[Red]\(\$#,##0.0\);\-"/>
    <x:numFmt numFmtId="171" formatCode="\+0.0%;\-0.0%;\-"/>
    <x:numFmt numFmtId="200" formatCode="mmm d, yyyy"/>
    <x:numFmt numFmtId="201" formatCode="mm/dd/yy"/>
    <x:numFmt numFmtId="202" formatCode=";;;"/>
    <x:numFmt numFmtId="203" formatCode="0"/>
    <x:numFmt numFmtId="204" formatCode="#,##0"/>
    <x:numFmt numFmtId="205" formatCode="0.00%"/>
    <x:numFmt numFmtId="206" formatCode="0.00"/>
    <x:numFmt numFmtId="207" formatCode="0.0%;(0.0%);0.0%"/>
    <x:numFmt numFmtId="208" formatCode="0.0%"/>
  </x:numFmts>
  <x:fonts count="72">
    <x:font>
      <x:sz val="11"/>
      <x:name val="Arial"/>
    </x:font>
    <x:font>
      <x:b/>
      <x:sz val="14"/>
      <x:color rgb="FFFFFFFF"/>
      <x:name val="Arial"/>
    </x:font>
    <x:font>
      <x:b/>
      <x:sz val="10"/>
      <x:color rgb="FFD9E2EA"/>
      <x:name val="Arial"/>
    </x:font>
    <x:font>
      <x:b/>
      <x:sz val="10"/>
      <x:color rgb="FFFFFFFF"/>
      <x:name val="Arial"/>
    </x:font>
    <x:font>
      <x:sz val="9"/>
      <x:color rgb="FF17212B"/>
      <x:name val="Arial"/>
    </x:font>
    <x:font>
      <x:b/>
      <x:sz val="9"/>
      <x:color rgb="FFFFFFFF"/>
      <x:name val="Arial"/>
    </x:font>
    <x:font>
      <x:sz val="9"/>
      <x:color rgb="FFFFFFFF"/>
      <x:name val="Arial"/>
    </x:font>
    <x:font>
      <x:b/>
      <x:sz val="8"/>
      <x:color rgb="FFA7B4C2"/>
      <x:name val="Arial"/>
    </x:font>
    <x:font>
      <x:b/>
      <x:sz val="11"/>
      <x:color rgb="FFFFFFFF"/>
      <x:name val="Arial"/>
    </x:font>
    <x:font>
      <x:i/>
      <x:sz val="8"/>
      <x:color rgb="FFA7B4C2"/>
      <x:name val="Arial"/>
    </x:font>
    <x:font>
      <x:b/>
      <x:sz val="9"/>
      <x:color rgb="FFA7B4C2"/>
      <x:name val="Arial"/>
    </x:font>
    <x:font>
      <x:b/>
      <x:sz val="25"/>
      <x:color rgb="FFFFFFFF"/>
      <x:name val="Arial"/>
    </x:font>
    <x:font>
      <x:b/>
      <x:sz val="9"/>
      <x:color rgb="FF43D3FF"/>
      <x:name val="Arial"/>
    </x:font>
    <x:font>
      <x:sz val="8"/>
      <x:color rgb="FFA7B4C2"/>
      <x:name val="Arial"/>
    </x:font>
    <x:font>
      <x:sz val="9"/>
      <x:color rgb="FFA7B4C2"/>
      <x:name val="Arial"/>
    </x:font>
    <x:font>
      <x:i/>
      <x:sz val="9"/>
      <x:color rgb="FFA7B4C2"/>
      <x:name val="Arial"/>
    </x:font>
    <x:font>
      <x:sz val="11"/>
      <x:name val="Arial"/>
    </x:font>
    <x:font>
      <x:b/>
      <x:sz val="9"/>
      <x:color rgb="FF000000"/>
      <x:name val="Arial"/>
    </x:font>
    <x:font>
      <x:sz val="9"/>
      <x:color rgb="FF0000FF"/>
      <x:name val="Arial"/>
    </x:font>
    <x:font>
      <x:i/>
      <x:sz val="10"/>
      <x:color rgb="FFD9E2EA"/>
      <x:name val="Arial"/>
    </x:font>
    <x:font>
      <x:b/>
      <x:sz val="11"/>
      <x:color rgb="FFFFFFFF"/>
      <x:name val="Aptos"/>
    </x:font>
    <x:font>
      <x:i/>
      <x:sz val="11"/>
      <x:color rgb="FFFFFFFF"/>
      <x:name val="Aptos"/>
    </x:font>
    <x:font>
      <x:sz val="11"/>
      <x:color rgb="FFFFFFFF"/>
      <x:name val="Aptos"/>
    </x:font>
    <x:font>
      <x:b/>
      <x:sz val="20"/>
      <x:color rgb="FFFFFFFF"/>
      <x:name val="Aptos"/>
    </x:font>
    <x:font>
      <x:i/>
      <x:sz val="10"/>
      <x:color rgb="FFAFBFCD"/>
      <x:name val="Aptos"/>
    </x:font>
    <x:font>
      <x:sz val="11"/>
      <x:color rgb="FF243B50"/>
      <x:name val="Aptos"/>
    </x:font>
    <x:font>
      <x:b/>
      <x:sz val="22"/>
      <x:color rgb="FFFFFFFF"/>
      <x:name val="Aptos"/>
    </x:font>
    <x:font>
      <x:b/>
      <x:sz val="11"/>
      <x:color rgb="FF243B50"/>
      <x:name val="Aptos"/>
    </x:font>
    <x:font>
      <x:sz val="10"/>
      <x:color rgb="FF176CA4"/>
      <x:name val="Aptos"/>
    </x:font>
    <x:font>
      <x:b/>
      <x:sz val="12"/>
      <x:color rgb="FFFFFFFF"/>
      <x:name val="Aptos"/>
    </x:font>
    <x:font>
      <x:b/>
      <x:sz val="10"/>
      <x:color rgb="FF176CA4"/>
      <x:name val="Aptos"/>
    </x:font>
    <x:font>
      <x:b/>
      <x:sz val="10"/>
      <x:color rgb="FFB6C7D6"/>
      <x:name val="Aptos"/>
    </x:font>
    <x:font>
      <x:b/>
      <x:sz val="28"/>
      <x:color rgb="FFFFFFFF"/>
      <x:name val="Aptos"/>
    </x:font>
    <x:font>
      <x:b/>
      <x:sz val="10"/>
      <x:color rgb="FFABC0D1"/>
      <x:name val="Aptos"/>
    </x:font>
    <x:font>
      <x:b/>
      <x:sz val="11"/>
      <x:color rgb="FFC1D1DD"/>
      <x:name val="Aptos"/>
    </x:font>
    <x:font>
      <x:b/>
      <x:sz val="12"/>
      <x:color rgb="FFC1D1DD"/>
      <x:name val="Aptos"/>
    </x:font>
    <x:font>
      <x:b/>
      <x:i/>
      <x:sz val="11"/>
      <x:color rgb="FFC1D1DD"/>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2"/>
      <x:color rgb="FFFFFFFF"/>
      <x:name val="Aptos"/>
    </x:font>
    <x:font>
      <x:b/>
      <x:sz val="14"/>
      <x:color rgb="FFFFFFFF"/>
      <x:name val="Aptos"/>
    </x:font>
    <x:font>
      <x:b/>
      <x:sz val="15"/>
      <x:color rgb="FFFFFFFF"/>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
      <x:sz val="11"/>
      <x:color rgb="FF243B50"/>
      <x:name val="Aptos"/>
    </x:font>
    <x:font>
      <x:sz val="10"/>
      <x:color rgb="FF176CA4"/>
      <x:name val="Aptos"/>
    </x:font>
  </x:fonts>
  <x:fills count="319">
    <x:fill>
      <x:patternFill patternType="none"/>
    </x:fill>
    <x:fill>
      <x:patternFill patternType="gray125"/>
    </x:fill>
    <x:fill>
      <x:patternFill patternType="solid">
        <x:fgColor rgb="FF17324D"/>
      </x:patternFill>
    </x:fill>
    <x:fill>
      <x:patternFill patternType="solid">
        <x:fgColor rgb="FF25313C"/>
      </x:patternFill>
    </x:fill>
    <x:fill>
      <x:patternFill patternType="solid">
        <x:fgColor rgb="FFF3F5F7"/>
      </x:patternFill>
    </x:fill>
    <x:fill>
      <x:patternFill patternType="solid">
        <x:fgColor rgb="FFFFF2CC"/>
      </x:patternFill>
    </x:fill>
    <x:fill>
      <x:patternFill patternType="solid">
        <x:fgColor rgb="FFFFFFFF"/>
      </x:patternFill>
    </x:fill>
    <x:fill>
      <x:patternFill patternType="solid">
        <x:fgColor rgb="FF244A6B"/>
      </x:patternFill>
    </x:fill>
    <x:fill>
      <x:patternFill patternType="solid">
        <x:fgColor rgb="FF0D1B2A"/>
      </x:patternFill>
    </x:fill>
    <x:fill>
      <x:patternFill patternType="solid">
        <x:fgColor rgb="FF19324A"/>
      </x:patternFill>
    </x:fill>
    <x:fill>
      <x:patternFill patternType="solid">
        <x:fgColor rgb="FF14263A"/>
      </x:patternFill>
    </x:fill>
    <x:fill>
      <x:patternFill patternType="solid">
        <x:fgColor rgb="FF223B53"/>
      </x:patternFill>
    </x:fill>
    <x:fill>
      <x:patternFill patternType="solid">
        <x:fgColor rgb="FF0D1B2A"/>
      </x:patternFill>
    </x:fill>
    <x:fill>
      <x:patternFill patternType="solid">
        <x:fgColor rgb="FF102332"/>
      </x:patternFill>
    </x:fill>
    <x:fill>
      <x:patternFill patternType="solid">
        <x:fgColor rgb="FFFFFFFF"/>
      </x:patternFill>
    </x:fill>
    <x:fill>
      <x:patternFill patternType="solid">
        <x:fgColor rgb="FFEDF4F8"/>
      </x:patternFill>
    </x:fill>
    <x:fill>
      <x:patternFill patternType="solid">
        <x:fgColor rgb="FF19354D"/>
      </x:patternFill>
    </x:fill>
    <x:fill>
      <x:patternFill patternType="solid">
        <x:fgColor rgb="FFF2F6F9"/>
      </x:patternFill>
    </x:fill>
    <x:fill>
      <x:patternFill patternType="solid">
        <x:fgColor rgb="FFFFF4D6"/>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19354D"/>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
      <x:patternFill patternType="solid">
        <x:fgColor rgb="FF19354D"/>
      </x:patternFill>
    </x:fill>
    <x:fill>
      <x:patternFill patternType="solid">
        <x:fgColor rgb="FFFFFFFF"/>
      </x:patternFill>
    </x:fill>
    <x:fill>
      <x:patternFill patternType="solid">
        <x:fgColor rgb="FFDFF0E9"/>
      </x:patternFill>
    </x:fill>
    <x:fill>
      <x:patternFill patternType="solid">
        <x:fgColor rgb="FFF2F6F9"/>
      </x:patternFill>
    </x:fill>
    <x:fill>
      <x:patternFill patternType="solid">
        <x:fgColor rgb="FFE4EFFB"/>
      </x:patternFill>
    </x:fill>
    <x:fill>
      <x:patternFill patternType="solid">
        <x:fgColor rgb="FFF9E1DB"/>
      </x:patternFill>
    </x:fill>
    <x:fill>
      <x:patternFill patternType="solid">
        <x:fgColor rgb="FFE9E9EF"/>
      </x:patternFill>
    </x:fill>
    <x:fill>
      <x:patternFill patternType="solid">
        <x:fgColor rgb="FFFFF0D0"/>
      </x:patternFill>
    </x:fill>
    <x:fill>
      <x:patternFill patternType="solid">
        <x:fgColor rgb="FFFFF4D6"/>
      </x:patternFill>
    </x:fill>
    <x:fill>
      <x:patternFill patternType="solid">
        <x:fgColor rgb="FFEDF4F8"/>
      </x:patternFill>
    </x:fill>
    <x:fill>
      <x:patternFill patternType="solid">
        <x:fgColor rgb="FFEDF2FA"/>
      </x:patternFill>
    </x:fill>
    <x:fill>
      <x:patternFill patternType="solid">
        <x:fgColor rgb="FF102332"/>
      </x:patternFill>
    </x:fill>
    <x:fill>
      <x:patternFill patternType="solid">
        <x:fgColor rgb="FF152D42"/>
      </x:patternFill>
    </x:fill>
  </x:fills>
  <x:borders count="17">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31506B"/>
      </x:left>
      <x:top style="thin">
        <x:color rgb="FF31506B"/>
      </x:top>
      <x:bottom style="thin">
        <x:color rgb="FF31506B"/>
      </x:bottom>
    </x:border>
    <x:border>
      <x:top style="thin">
        <x:color rgb="FF31506B"/>
      </x:top>
      <x:bottom style="thin">
        <x:color rgb="FF31506B"/>
      </x:bottom>
    </x:border>
    <x:border>
      <x:right style="thin">
        <x:color rgb="FF31506B"/>
      </x:right>
      <x:top style="thin">
        <x:color rgb="FF31506B"/>
      </x:top>
      <x:bottom style="thin">
        <x:color rgb="FF31506B"/>
      </x:bottom>
    </x:border>
    <x:border>
      <x:left style="thin">
        <x:color rgb="FF31506B"/>
      </x:left>
      <x:top style="thin">
        <x:color rgb="FF31506B"/>
      </x:top>
    </x:border>
    <x:border>
      <x:top style="thin">
        <x:color rgb="FF31506B"/>
      </x:top>
    </x:border>
    <x:border>
      <x:right style="thin">
        <x:color rgb="FF31506B"/>
      </x:right>
      <x:top style="thin">
        <x:color rgb="FF31506B"/>
      </x:top>
    </x:border>
    <x:border>
      <x:left style="thin">
        <x:color rgb="FF31506B"/>
      </x:left>
    </x:border>
    <x:border>
      <x:right style="thin">
        <x:color rgb="FF31506B"/>
      </x:right>
    </x:border>
    <x:border>
      <x:left style="thin">
        <x:color rgb="FF31506B"/>
      </x:left>
      <x:bottom style="thin">
        <x:color rgb="FF31506B"/>
      </x:bottom>
    </x:border>
    <x:border>
      <x:bottom style="thin">
        <x:color rgb="FF31506B"/>
      </x:bottom>
    </x:border>
    <x:border>
      <x:right style="thin">
        <x:color rgb="FF31506B"/>
      </x:right>
      <x:bottom style="thin">
        <x:color rgb="FF31506B"/>
      </x:bottom>
    </x:border>
    <x:border diagonalUp="0" diagonalDown="0">
      <x:left style="none"/>
      <x:right style="thin">
        <x:color rgb="FFD9E0E6"/>
      </x:right>
      <x:top style="none"/>
      <x:bottom style="none"/>
    </x:border>
    <x:border diagonalUp="0" diagonalDown="0">
      <x:left style="thin">
        <x:color rgb="FFD9E0E6"/>
      </x:left>
      <x:right style="thin">
        <x:color rgb="FFD9E0E6"/>
      </x:right>
      <x:top style="none"/>
      <x:bottom style="none"/>
    </x:border>
    <x:border diagonalUp="0" diagonalDown="0">
      <x:right style="none"/>
      <x:top style="none"/>
      <x:bottom style="none"/>
    </x:border>
  </x:borders>
  <x:cellStyleXfs count="1">
    <x:xf numFmtId="0" fontId="0" fillId="0" borderId="0"/>
  </x:cellStyleXfs>
  <x:cellXfs count="2390">
    <x:xf numFmtId="0" fontId="0" fillId="0" borderId="0" xfId="0"/>
    <x:xf numFmtId="0" fontId="5" fillId="3" borderId="1" xfId="0" applyFont="1" applyFill="1" applyBorder="1" applyAlignment="1">
      <x:alignment horizontal="left" vertical="center" wrapText="1"/>
    </x:xf>
    <x:xf numFmtId="0" fontId="5" fillId="2" borderId="1" xfId="0" applyFont="1" applyFill="1" applyBorder="1" applyAlignment="1">
      <x:alignment horizontal="center" vertical="center" wrapText="1"/>
    </x:xf>
    <x:xf numFmtId="0" fontId="5" fillId="3" borderId="1" xfId="0" applyFont="1" applyFill="1" applyBorder="1" applyAlignment="1">
      <x:alignment horizontal="center" vertical="center" wrapText="1"/>
    </x:xf>
    <x:xf numFmtId="0" fontId="4" fillId="6" borderId="1" xfId="0" applyFont="1" applyFill="1" applyBorder="1" applyAlignment="1">
      <x:alignment horizontal="left" vertical="center"/>
    </x:xf>
    <x:xf numFmtId="0" fontId="4" fillId="4" borderId="1" xfId="0" applyFont="1" applyFill="1" applyBorder="1" applyAlignment="1">
      <x:alignment horizontal="left" vertical="center"/>
    </x:xf>
    <x:xf numFmtId="165" fontId="4" fillId="6" borderId="1" xfId="0" applyNumberFormat="1" applyFont="1" applyFill="1" applyBorder="1" applyAlignment="1">
      <x:alignment horizontal="left" vertical="center"/>
    </x:xf>
    <x:xf numFmtId="166" fontId="4" fillId="6" borderId="1" xfId="0" applyNumberFormat="1" applyFont="1" applyFill="1" applyBorder="1" applyAlignment="1">
      <x:alignment horizontal="left" vertical="center"/>
    </x:xf>
    <x:xf numFmtId="167" fontId="4" fillId="6" borderId="1" xfId="0" applyNumberFormat="1" applyFont="1" applyFill="1" applyBorder="1" applyAlignment="1">
      <x:alignment horizontal="left" vertical="center"/>
    </x:xf>
    <x:xf numFmtId="168" fontId="4" fillId="6" borderId="1" xfId="0" applyNumberFormat="1" applyFont="1" applyFill="1" applyBorder="1" applyAlignment="1">
      <x:alignment horizontal="left" vertical="center"/>
    </x:xf>
    <x:xf numFmtId="170" fontId="4" fillId="6" borderId="1" xfId="0" applyNumberFormat="1" applyFont="1" applyFill="1" applyBorder="1" applyAlignment="1">
      <x:alignment horizontal="left" vertical="center"/>
    </x:xf>
    <x:xf numFmtId="17" fontId="4" fillId="6" borderId="1" xfId="0" applyNumberFormat="1" applyFont="1" applyFill="1" applyBorder="1" applyAlignment="1">
      <x:alignment horizontal="left" vertical="center"/>
    </x:xf>
    <x:xf numFmtId="0" fontId="6" fillId="8" borderId="0" xfId="0" applyFont="1" applyFill="1" applyAlignment="1">
      <x:alignment vertical="center"/>
    </x:xf>
    <x:xf numFmtId="171" fontId="12" fillId="10" borderId="11" xfId="0" applyNumberFormat="1" applyFont="1" applyFill="1" applyBorder="1" applyAlignment="1">
      <x:alignment horizontal="right" vertical="center"/>
    </x:xf>
    <x:xf numFmtId="0" fontId="13" fillId="10" borderId="12" xfId="0" applyFont="1" applyFill="1" applyBorder="1" applyAlignment="1">
      <x:alignment horizontal="left" vertical="center"/>
    </x:xf>
    <x:xf numFmtId="171" fontId="5" fillId="10" borderId="12" xfId="0" applyNumberFormat="1" applyFont="1" applyFill="1" applyBorder="1" applyAlignment="1">
      <x:alignment horizontal="right" vertical="center"/>
    </x:xf>
    <x:xf numFmtId="0" fontId="13" fillId="10" borderId="13" xfId="0" applyFont="1" applyFill="1" applyBorder="1" applyAlignment="1">
      <x:alignment horizontal="left" vertical="center"/>
    </x:xf>
    <x:xf numFmtId="0" fontId="5" fillId="11" borderId="1" xfId="0" applyFont="1" applyFill="1" applyBorder="1" applyAlignment="1">
      <x:alignment horizontal="center" vertical="center" wrapText="1"/>
    </x:xf>
    <x:xf numFmtId="0" fontId="5" fillId="10" borderId="1" xfId="0" applyFont="1" applyFill="1" applyBorder="1" applyAlignment="1">
      <x:alignment horizontal="left" vertical="center"/>
    </x:xf>
    <x:xf numFmtId="0" fontId="6" fillId="10" borderId="1" xfId="0" applyFont="1" applyFill="1" applyBorder="1" applyAlignment="1">
      <x:alignment horizontal="center" vertical="center"/>
    </x:xf>
    <x:xf numFmtId="165" fontId="6" fillId="10" borderId="1" xfId="0" applyNumberFormat="1" applyFont="1" applyFill="1" applyBorder="1" applyAlignment="1">
      <x:alignment horizontal="right" vertical="center"/>
    </x:xf>
    <x:xf numFmtId="166" fontId="6" fillId="10" borderId="1" xfId="0" applyNumberFormat="1" applyFont="1" applyFill="1" applyBorder="1" applyAlignment="1">
      <x:alignment horizontal="right" vertical="center"/>
    </x:xf>
    <x:xf numFmtId="167" fontId="6" fillId="10" borderId="1" xfId="0" applyNumberFormat="1" applyFont="1" applyFill="1" applyBorder="1" applyAlignment="1">
      <x:alignment horizontal="right" vertical="center"/>
    </x:xf>
    <x:xf numFmtId="168" fontId="6" fillId="10" borderId="1" xfId="0" applyNumberFormat="1" applyFont="1" applyFill="1" applyBorder="1" applyAlignment="1">
      <x:alignment horizontal="right" vertical="center"/>
    </x:xf>
    <x:xf numFmtId="170" fontId="6" fillId="10" borderId="1" xfId="0" applyNumberFormat="1" applyFont="1" applyFill="1" applyBorder="1" applyAlignment="1">
      <x:alignment horizontal="right" vertical="center"/>
    </x:xf>
    <x:xf numFmtId="164" fontId="17" fillId="6" borderId="1" xfId="0" applyNumberFormat="1" applyFont="1" applyFill="1" applyBorder="1" applyAlignment="1">
      <x:alignment horizontal="left" vertical="center"/>
    </x:xf>
    <x:xf numFmtId="0" fontId="17" fillId="4" borderId="1" xfId="0" applyFont="1" applyFill="1" applyBorder="1" applyAlignment="1">
      <x:alignment horizontal="left" vertical="center"/>
    </x:xf>
    <x:xf numFmtId="0" fontId="0" fillId="0" borderId="0" xfId="0" applyAlignment="1">
      <x:alignment vertical="center"/>
    </x:xf>
    <x:xf numFmtId="0" fontId="16" fillId="0" borderId="0" xfId="0" applyFont="1" applyAlignment="1">
      <x:alignment vertical="center"/>
    </x:xf>
    <x:xf numFmtId="164" fontId="18" fillId="5" borderId="2" xfId="0" applyNumberFormat="1" applyFont="1" applyFill="1" applyBorder="1" applyAlignment="1">
      <x:alignment horizontal="left" vertical="center"/>
    </x:xf>
    <x:xf numFmtId="164" fontId="18" fillId="5" borderId="2" xfId="0" applyNumberFormat="1" applyFont="1" applyFill="1" applyBorder="1" applyAlignment="1">
      <x:alignment horizontal="right" vertical="center"/>
    </x:xf>
    <x:xf numFmtId="165" fontId="18" fillId="5" borderId="2" xfId="0" applyNumberFormat="1" applyFont="1" applyFill="1" applyBorder="1" applyAlignment="1">
      <x:alignment horizontal="right" vertical="center"/>
    </x:xf>
    <x:xf numFmtId="166" fontId="18" fillId="5" borderId="2" xfId="0" applyNumberFormat="1" applyFont="1" applyFill="1" applyBorder="1" applyAlignment="1">
      <x:alignment horizontal="right" vertical="center"/>
    </x:xf>
    <x:xf numFmtId="167" fontId="18" fillId="5" borderId="2" xfId="0" applyNumberFormat="1" applyFont="1" applyFill="1" applyBorder="1" applyAlignment="1">
      <x:alignment horizontal="right" vertical="center"/>
    </x:xf>
    <x:xf numFmtId="168" fontId="18" fillId="5" borderId="2" xfId="0" applyNumberFormat="1" applyFont="1" applyFill="1" applyBorder="1" applyAlignment="1">
      <x:alignment horizontal="right" vertical="center"/>
    </x:xf>
    <x:xf numFmtId="169" fontId="18" fillId="5" borderId="2" xfId="0" applyNumberFormat="1" applyFont="1" applyFill="1" applyBorder="1" applyAlignment="1">
      <x:alignment horizontal="right" vertical="center"/>
    </x:xf>
    <x:xf numFmtId="0" fontId="1" fillId="12" borderId="0" xfId="0" applyFont="1" applyFill="1" applyAlignment="1">
      <x:alignment vertical="center"/>
    </x:xf>
    <x:xf numFmtId="0" fontId="2" fillId="12" borderId="0" xfId="0" applyFont="1" applyFill="1" applyAlignment="1">
      <x:alignment vertical="center"/>
    </x:xf>
    <x:xf numFmtId="0" fontId="19" fillId="12" borderId="0" xfId="0" applyFont="1" applyFill="1" applyAlignment="1">
      <x:alignment vertical="center"/>
    </x:xf>
    <x:xf numFmtId="0" fontId="1" fillId="8" borderId="0" xfId="0" applyFont="1" applyFill="1" applyAlignment="1">
      <x:alignment vertical="center"/>
    </x:xf>
    <x:xf numFmtId="0" fontId="7" fillId="9" borderId="3" xfId="0" applyFont="1" applyFill="1" applyBorder="1" applyAlignment="1">
      <x:alignment horizontal="left" vertical="center"/>
    </x:xf>
    <x:xf numFmtId="0" fontId="7" fillId="9" borderId="4" xfId="0" applyFont="1" applyFill="1" applyBorder="1" applyAlignment="1">
      <x:alignment horizontal="left" vertical="center"/>
    </x:xf>
    <x:xf numFmtId="0" fontId="7" fillId="9" borderId="5" xfId="0" applyFont="1" applyFill="1" applyBorder="1" applyAlignment="1">
      <x:alignment horizontal="left" vertical="center"/>
    </x:xf>
    <x:xf numFmtId="164" fontId="8" fillId="9" borderId="3" xfId="0" applyNumberFormat="1" applyFont="1" applyFill="1" applyBorder="1" applyAlignment="1">
      <x:alignment horizontal="left" vertical="center"/>
    </x:xf>
    <x:xf numFmtId="164" fontId="8" fillId="9" borderId="4" xfId="0" applyNumberFormat="1" applyFont="1" applyFill="1" applyBorder="1" applyAlignment="1">
      <x:alignment horizontal="left" vertical="center"/>
    </x:xf>
    <x:xf numFmtId="164" fontId="8" fillId="9" borderId="5" xfId="0" applyNumberFormat="1" applyFont="1" applyFill="1" applyBorder="1" applyAlignment="1">
      <x:alignment horizontal="left" vertical="center"/>
    </x:xf>
    <x:xf numFmtId="0" fontId="9" fillId="8" borderId="0" xfId="0" applyFont="1" applyFill="1" applyAlignment="1">
      <x:alignment horizontal="left" vertical="center"/>
    </x:xf>
    <x:xf numFmtId="0" fontId="10" fillId="10" borderId="6" xfId="0" applyFont="1" applyFill="1" applyBorder="1" applyAlignment="1">
      <x:alignment horizontal="left" vertical="center"/>
    </x:xf>
    <x:xf numFmtId="0" fontId="10" fillId="10" borderId="7" xfId="0" applyFont="1" applyFill="1" applyBorder="1" applyAlignment="1">
      <x:alignment horizontal="left" vertical="center"/>
    </x:xf>
    <x:xf numFmtId="0" fontId="10" fillId="10" borderId="8" xfId="0" applyFont="1" applyFill="1" applyBorder="1" applyAlignment="1">
      <x:alignment horizontal="left" vertical="center"/>
    </x:xf>
    <x:xf numFmtId="165" fontId="11" fillId="10" borderId="9" xfId="0" applyNumberFormat="1" applyFont="1" applyFill="1" applyBorder="1" applyAlignment="1">
      <x:alignment horizontal="left" vertical="center"/>
    </x:xf>
    <x:xf numFmtId="165" fontId="11" fillId="10" borderId="0" xfId="0" applyNumberFormat="1" applyFont="1" applyFill="1" applyAlignment="1">
      <x:alignment horizontal="left" vertical="center"/>
    </x:xf>
    <x:xf numFmtId="165" fontId="11" fillId="10" borderId="10" xfId="0" applyNumberFormat="1" applyFont="1" applyFill="1" applyBorder="1" applyAlignment="1">
      <x:alignment horizontal="left" vertical="center"/>
    </x:xf>
    <x:xf numFmtId="166" fontId="11" fillId="10" borderId="9" xfId="0" applyNumberFormat="1" applyFont="1" applyFill="1" applyBorder="1" applyAlignment="1">
      <x:alignment horizontal="left" vertical="center"/>
    </x:xf>
    <x:xf numFmtId="166" fontId="11" fillId="10" borderId="0" xfId="0" applyNumberFormat="1" applyFont="1" applyFill="1" applyAlignment="1">
      <x:alignment horizontal="left" vertical="center"/>
    </x:xf>
    <x:xf numFmtId="166" fontId="11" fillId="10" borderId="10" xfId="0" applyNumberFormat="1" applyFont="1" applyFill="1" applyBorder="1" applyAlignment="1">
      <x:alignment horizontal="left" vertical="center"/>
    </x:xf>
    <x:xf numFmtId="0" fontId="3" fillId="9" borderId="0" xfId="0" applyFont="1" applyFill="1" applyAlignment="1">
      <x:alignment horizontal="left" vertical="center"/>
    </x:xf>
    <x:xf numFmtId="0" fontId="14" fillId="10" borderId="6" xfId="0" applyFont="1" applyFill="1" applyBorder="1" applyAlignment="1">
      <x:alignment horizontal="left" vertical="center" wrapText="1"/>
    </x:xf>
    <x:xf numFmtId="0" fontId="14" fillId="10" borderId="7" xfId="0" applyFont="1" applyFill="1" applyBorder="1" applyAlignment="1">
      <x:alignment horizontal="left" vertical="center" wrapText="1"/>
    </x:xf>
    <x:xf numFmtId="0" fontId="14" fillId="10" borderId="8" xfId="0" applyFont="1" applyFill="1" applyBorder="1" applyAlignment="1">
      <x:alignment horizontal="left" vertical="center" wrapText="1"/>
    </x:xf>
    <x:xf numFmtId="0" fontId="14" fillId="10" borderId="9" xfId="0" applyFont="1" applyFill="1" applyBorder="1" applyAlignment="1">
      <x:alignment horizontal="left" vertical="center" wrapText="1"/>
    </x:xf>
    <x:xf numFmtId="0" fontId="14" fillId="10" borderId="0" xfId="0" applyFont="1" applyFill="1" applyAlignment="1">
      <x:alignment horizontal="left" vertical="center" wrapText="1"/>
    </x:xf>
    <x:xf numFmtId="0" fontId="14" fillId="10" borderId="10" xfId="0" applyFont="1" applyFill="1" applyBorder="1" applyAlignment="1">
      <x:alignment horizontal="left" vertical="center" wrapText="1"/>
    </x:xf>
    <x:xf numFmtId="0" fontId="14" fillId="10" borderId="11" xfId="0" applyFont="1" applyFill="1" applyBorder="1" applyAlignment="1">
      <x:alignment horizontal="left" vertical="center" wrapText="1"/>
    </x:xf>
    <x:xf numFmtId="0" fontId="14" fillId="10" borderId="12" xfId="0" applyFont="1" applyFill="1" applyBorder="1" applyAlignment="1">
      <x:alignment horizontal="left" vertical="center" wrapText="1"/>
    </x:xf>
    <x:xf numFmtId="0" fontId="14" fillId="10" borderId="13" xfId="0" applyFont="1" applyFill="1" applyBorder="1" applyAlignment="1">
      <x:alignment horizontal="left" vertical="center" wrapText="1"/>
    </x:xf>
    <x:xf numFmtId="0" fontId="15" fillId="9" borderId="6" xfId="0" applyFont="1" applyFill="1" applyBorder="1" applyAlignment="1">
      <x:alignment horizontal="left" vertical="center" wrapText="1"/>
    </x:xf>
    <x:xf numFmtId="0" fontId="15" fillId="9" borderId="7" xfId="0" applyFont="1" applyFill="1" applyBorder="1" applyAlignment="1">
      <x:alignment horizontal="left" vertical="center" wrapText="1"/>
    </x:xf>
    <x:xf numFmtId="0" fontId="15" fillId="9" borderId="8" xfId="0" applyFont="1" applyFill="1" applyBorder="1" applyAlignment="1">
      <x:alignment horizontal="left" vertical="center" wrapText="1"/>
    </x:xf>
    <x:xf numFmtId="0" fontId="15" fillId="9" borderId="9" xfId="0" applyFont="1" applyFill="1" applyBorder="1" applyAlignment="1">
      <x:alignment horizontal="left" vertical="center" wrapText="1"/>
    </x:xf>
    <x:xf numFmtId="0" fontId="15" fillId="9" borderId="0" xfId="0" applyFont="1" applyFill="1" applyAlignment="1">
      <x:alignment horizontal="left" vertical="center" wrapText="1"/>
    </x:xf>
    <x:xf numFmtId="0" fontId="15" fillId="9" borderId="10" xfId="0" applyFont="1" applyFill="1" applyBorder="1" applyAlignment="1">
      <x:alignment horizontal="left" vertical="center" wrapText="1"/>
    </x:xf>
    <x:xf numFmtId="0" fontId="15" fillId="9" borderId="11" xfId="0" applyFont="1" applyFill="1" applyBorder="1" applyAlignment="1">
      <x:alignment horizontal="left" vertical="center" wrapText="1"/>
    </x:xf>
    <x:xf numFmtId="0" fontId="15" fillId="9" borderId="12" xfId="0" applyFont="1" applyFill="1" applyBorder="1" applyAlignment="1">
      <x:alignment horizontal="left" vertical="center" wrapText="1"/>
    </x:xf>
    <x:xf numFmtId="0" fontId="15" fillId="9" borderId="13" xfId="0" applyFont="1" applyFill="1" applyBorder="1" applyAlignment="1">
      <x:alignment horizontal="left" vertical="center" wrapText="1"/>
    </x:xf>
    <x:xf numFmtId="170" fontId="11" fillId="10" borderId="9" xfId="0" applyNumberFormat="1" applyFont="1" applyFill="1" applyBorder="1" applyAlignment="1">
      <x:alignment horizontal="left" vertical="center"/>
    </x:xf>
    <x:xf numFmtId="170" fontId="11" fillId="10" borderId="0" xfId="0" applyNumberFormat="1" applyFont="1" applyFill="1" applyAlignment="1">
      <x:alignment horizontal="left" vertical="center"/>
    </x:xf>
    <x:xf numFmtId="170" fontId="11" fillId="10" borderId="10" xfId="0" applyNumberFormat="1" applyFont="1" applyFill="1" applyBorder="1" applyAlignment="1">
      <x:alignment horizontal="left" vertical="center"/>
    </x:xf>
    <x:xf numFmtId="167" fontId="11" fillId="10" borderId="9" xfId="0" applyNumberFormat="1" applyFont="1" applyFill="1" applyBorder="1" applyAlignment="1">
      <x:alignment horizontal="left" vertical="center"/>
    </x:xf>
    <x:xf numFmtId="167" fontId="11" fillId="10" borderId="0" xfId="0" applyNumberFormat="1" applyFont="1" applyFill="1" applyAlignment="1">
      <x:alignment horizontal="left" vertical="center"/>
    </x:xf>
    <x:xf numFmtId="167" fontId="11" fillId="10" borderId="10" xfId="0" applyNumberFormat="1" applyFont="1" applyFill="1" applyBorder="1" applyAlignment="1">
      <x:alignment horizontal="left" vertical="center"/>
    </x:xf>
    <x:xf numFmtId="168" fontId="11" fillId="10" borderId="9" xfId="0" applyNumberFormat="1" applyFont="1" applyFill="1" applyBorder="1" applyAlignment="1">
      <x:alignment horizontal="left" vertical="center"/>
    </x:xf>
    <x:xf numFmtId="168" fontId="11" fillId="10" borderId="0" xfId="0" applyNumberFormat="1" applyFont="1" applyFill="1" applyAlignment="1">
      <x:alignment horizontal="left" vertical="center"/>
    </x:xf>
    <x:xf numFmtId="168" fontId="11" fillId="10" borderId="10" xfId="0" applyNumberFormat="1" applyFont="1" applyFill="1" applyBorder="1" applyAlignment="1">
      <x:alignment horizontal="left" vertical="center"/>
    </x:xf>
    <x:xf numFmtId="0" fontId="4" fillId="6" borderId="1" xfId="0" applyFont="1" applyFill="1" applyBorder="1" applyAlignment="1">
      <x:alignment horizontal="left" vertical="center" wrapText="1"/>
    </x:xf>
    <x:xf numFmtId="0" fontId="3" fillId="7" borderId="0" xfId="0" applyFont="1" applyFill="1" applyAlignment="1">
      <x:alignment horizontal="left" vertical="center"/>
    </x:xf>
    <x:xf numFmtId="0" fontId="5" fillId="7" borderId="0" xfId="0" applyFont="1" applyFill="1" applyAlignment="1">
      <x:alignment horizontal="left" vertical="center"/>
    </x:xf>
    <x:xf numFmtId="0" fontId="3" fillId="3" borderId="0" xfId="0" applyFont="1" applyFill="1" applyAlignment="1">
      <x:alignment horizontal="left" vertical="center"/>
    </x:xf>
    <x:xf numFmtId="0" fontId="4" fillId="4" borderId="1" xfId="0" applyFont="1" applyFill="1" applyBorder="1" applyAlignment="1">
      <x:alignment horizontal="left" vertical="center" wrapText="1"/>
    </x:xf>
    <x:xf numFmtId="0" fontId="1" fillId="13" borderId="0" xfId="0" applyNumberFormat="1" applyFont="1" applyFill="1" applyBorder="1" applyAlignment="1">
      <x:alignment vertical="center"/>
    </x:xf>
    <x:xf numFmtId="0" fontId="7" fillId="13" borderId="3" xfId="0" applyNumberFormat="1" applyFont="1" applyFill="1" applyBorder="1" applyAlignment="1">
      <x:alignment horizontal="left" vertical="center"/>
    </x:xf>
    <x:xf numFmtId="0" fontId="7" fillId="13" borderId="4" xfId="0" applyNumberFormat="1" applyFont="1" applyFill="1" applyBorder="1" applyAlignment="1">
      <x:alignment horizontal="left" vertical="center"/>
    </x:xf>
    <x:xf numFmtId="0" fontId="7" fillId="13" borderId="5" xfId="0" applyNumberFormat="1" applyFont="1" applyFill="1" applyBorder="1" applyAlignment="1">
      <x:alignment horizontal="left" vertical="center"/>
    </x:xf>
    <x:xf numFmtId="0" fontId="19" fillId="13" borderId="0" xfId="0" applyNumberFormat="1" applyFont="1" applyFill="1" applyBorder="1" applyAlignment="1">
      <x:alignment vertical="center"/>
    </x:xf>
    <x:xf numFmtId="164" fontId="8" fillId="13" borderId="3" xfId="0" applyNumberFormat="1" applyFont="1" applyFill="1" applyBorder="1" applyAlignment="1">
      <x:alignment horizontal="left" vertical="center"/>
    </x:xf>
    <x:xf numFmtId="164" fontId="8" fillId="13" borderId="4" xfId="0" applyNumberFormat="1" applyFont="1" applyFill="1" applyBorder="1" applyAlignment="1">
      <x:alignment horizontal="left" vertical="center"/>
    </x:xf>
    <x:xf numFmtId="164" fontId="8" fillId="13" borderId="5" xfId="0" applyNumberFormat="1" applyFont="1" applyFill="1" applyBorder="1" applyAlignment="1">
      <x:alignment horizontal="left" vertical="center"/>
    </x:xf>
    <x:xf numFmtId="0" fontId="9" fillId="13" borderId="0" xfId="0" applyNumberFormat="1" applyFont="1" applyFill="1" applyBorder="1" applyAlignment="1">
      <x:alignment horizontal="left" vertical="center"/>
    </x:xf>
    <x:xf numFmtId="0" fontId="10" fillId="13" borderId="6" xfId="0" applyNumberFormat="1" applyFont="1" applyFill="1" applyBorder="1" applyAlignment="1">
      <x:alignment horizontal="left" vertical="center"/>
    </x:xf>
    <x:xf numFmtId="0" fontId="10" fillId="13" borderId="7" xfId="0" applyNumberFormat="1" applyFont="1" applyFill="1" applyBorder="1" applyAlignment="1">
      <x:alignment horizontal="left" vertical="center"/>
    </x:xf>
    <x:xf numFmtId="0" fontId="10" fillId="13" borderId="8" xfId="0" applyNumberFormat="1" applyFont="1" applyFill="1" applyBorder="1" applyAlignment="1">
      <x:alignment horizontal="left" vertical="center"/>
    </x:xf>
    <x:xf numFmtId="165" fontId="11" fillId="13" borderId="9" xfId="0" applyNumberFormat="1" applyFont="1" applyFill="1" applyBorder="1" applyAlignment="1">
      <x:alignment horizontal="left" vertical="center"/>
    </x:xf>
    <x:xf numFmtId="165" fontId="11" fillId="13" borderId="0" xfId="0" applyNumberFormat="1" applyFont="1" applyFill="1" applyBorder="1" applyAlignment="1">
      <x:alignment horizontal="left" vertical="center"/>
    </x:xf>
    <x:xf numFmtId="165" fontId="11" fillId="13" borderId="10" xfId="0" applyNumberFormat="1" applyFont="1" applyFill="1" applyBorder="1" applyAlignment="1">
      <x:alignment horizontal="left" vertical="center"/>
    </x:xf>
    <x:xf numFmtId="166" fontId="11" fillId="13" borderId="9" xfId="0" applyNumberFormat="1" applyFont="1" applyFill="1" applyBorder="1" applyAlignment="1">
      <x:alignment horizontal="left" vertical="center"/>
    </x:xf>
    <x:xf numFmtId="166" fontId="11" fillId="13" borderId="0" xfId="0" applyNumberFormat="1" applyFont="1" applyFill="1" applyBorder="1" applyAlignment="1">
      <x:alignment horizontal="left" vertical="center"/>
    </x:xf>
    <x:xf numFmtId="166" fontId="11" fillId="13" borderId="10" xfId="0" applyNumberFormat="1" applyFont="1" applyFill="1" applyBorder="1" applyAlignment="1">
      <x:alignment horizontal="left" vertical="center"/>
    </x:xf>
    <x:xf numFmtId="171" fontId="12" fillId="13" borderId="11" xfId="0" applyNumberFormat="1" applyFont="1" applyFill="1" applyBorder="1" applyAlignment="1">
      <x:alignment horizontal="right" vertical="center"/>
    </x:xf>
    <x:xf numFmtId="0" fontId="13" fillId="13" borderId="12" xfId="0" applyNumberFormat="1" applyFont="1" applyFill="1" applyBorder="1" applyAlignment="1">
      <x:alignment horizontal="left" vertical="center"/>
    </x:xf>
    <x:xf numFmtId="171" fontId="5" fillId="13" borderId="12" xfId="0" applyNumberFormat="1" applyFont="1" applyFill="1" applyBorder="1" applyAlignment="1">
      <x:alignment horizontal="right" vertical="center"/>
    </x:xf>
    <x:xf numFmtId="0" fontId="13" fillId="13" borderId="13" xfId="0" applyNumberFormat="1" applyFont="1" applyFill="1" applyBorder="1" applyAlignment="1">
      <x:alignment horizontal="left" vertical="center"/>
    </x:xf>
    <x:xf numFmtId="0" fontId="6" fillId="13" borderId="0" xfId="0" applyNumberFormat="1" applyFont="1" applyFill="1" applyBorder="1" applyAlignment="1">
      <x:alignment vertical="center"/>
    </x:xf>
    <x:xf numFmtId="167" fontId="11" fillId="13" borderId="9" xfId="0" applyNumberFormat="1" applyFont="1" applyFill="1" applyBorder="1" applyAlignment="1">
      <x:alignment horizontal="left" vertical="center"/>
    </x:xf>
    <x:xf numFmtId="167" fontId="11" fillId="13" borderId="0" xfId="0" applyNumberFormat="1" applyFont="1" applyFill="1" applyBorder="1" applyAlignment="1">
      <x:alignment horizontal="left" vertical="center"/>
    </x:xf>
    <x:xf numFmtId="167" fontId="11" fillId="13" borderId="10" xfId="0" applyNumberFormat="1" applyFont="1" applyFill="1" applyBorder="1" applyAlignment="1">
      <x:alignment horizontal="left" vertical="center"/>
    </x:xf>
    <x:xf numFmtId="168" fontId="11" fillId="13" borderId="9" xfId="0" applyNumberFormat="1" applyFont="1" applyFill="1" applyBorder="1" applyAlignment="1">
      <x:alignment horizontal="left" vertical="center"/>
    </x:xf>
    <x:xf numFmtId="168" fontId="11" fillId="13" borderId="0" xfId="0" applyNumberFormat="1" applyFont="1" applyFill="1" applyBorder="1" applyAlignment="1">
      <x:alignment horizontal="left" vertical="center"/>
    </x:xf>
    <x:xf numFmtId="168" fontId="11" fillId="13" borderId="10" xfId="0" applyNumberFormat="1" applyFont="1" applyFill="1" applyBorder="1" applyAlignment="1">
      <x:alignment horizontal="left" vertical="center"/>
    </x:xf>
    <x:xf numFmtId="170" fontId="11" fillId="13" borderId="9" xfId="0" applyNumberFormat="1" applyFont="1" applyFill="1" applyBorder="1" applyAlignment="1">
      <x:alignment horizontal="left" vertical="center"/>
    </x:xf>
    <x:xf numFmtId="170" fontId="11" fillId="13" borderId="0" xfId="0" applyNumberFormat="1" applyFont="1" applyFill="1" applyBorder="1" applyAlignment="1">
      <x:alignment horizontal="left" vertical="center"/>
    </x:xf>
    <x:xf numFmtId="170" fontId="11" fillId="13" borderId="10" xfId="0" applyNumberFormat="1" applyFont="1" applyFill="1" applyBorder="1" applyAlignment="1">
      <x:alignment horizontal="left" vertical="center"/>
    </x:xf>
    <x:xf numFmtId="0" fontId="3" fillId="13" borderId="0" xfId="0" applyNumberFormat="1" applyFont="1" applyFill="1" applyBorder="1" applyAlignment="1">
      <x:alignment horizontal="left" vertical="center"/>
    </x:xf>
    <x:xf numFmtId="0" fontId="5" fillId="13" borderId="1" xfId="0" applyNumberFormat="1" applyFont="1" applyFill="1" applyBorder="1" applyAlignment="1">
      <x:alignment horizontal="center" vertical="center" wrapText="1"/>
    </x:xf>
    <x:xf numFmtId="0" fontId="5" fillId="13" borderId="1" xfId="0" applyNumberFormat="1" applyFont="1" applyFill="1" applyBorder="1" applyAlignment="1">
      <x:alignment horizontal="left" vertical="center"/>
    </x:xf>
    <x:xf numFmtId="0" fontId="6" fillId="13" borderId="1" xfId="0" applyNumberFormat="1" applyFont="1" applyFill="1" applyBorder="1" applyAlignment="1">
      <x:alignment horizontal="center" vertical="center"/>
    </x:xf>
    <x:xf numFmtId="165" fontId="6" fillId="13" borderId="1" xfId="0" applyNumberFormat="1" applyFont="1" applyFill="1" applyBorder="1" applyAlignment="1">
      <x:alignment horizontal="right" vertical="center"/>
    </x:xf>
    <x:xf numFmtId="166" fontId="6" fillId="13" borderId="1" xfId="0" applyNumberFormat="1" applyFont="1" applyFill="1" applyBorder="1" applyAlignment="1">
      <x:alignment horizontal="right" vertical="center"/>
    </x:xf>
    <x:xf numFmtId="0" fontId="14" fillId="13" borderId="6" xfId="0" applyNumberFormat="1" applyFont="1" applyFill="1" applyBorder="1" applyAlignment="1">
      <x:alignment horizontal="left" vertical="center" wrapText="1"/>
    </x:xf>
    <x:xf numFmtId="0" fontId="14" fillId="13" borderId="7" xfId="0" applyNumberFormat="1" applyFont="1" applyFill="1" applyBorder="1" applyAlignment="1">
      <x:alignment horizontal="left" vertical="center" wrapText="1"/>
    </x:xf>
    <x:xf numFmtId="0" fontId="14" fillId="13" borderId="8" xfId="0" applyNumberFormat="1" applyFont="1" applyFill="1" applyBorder="1" applyAlignment="1">
      <x:alignment horizontal="left" vertical="center" wrapText="1"/>
    </x:xf>
    <x:xf numFmtId="0" fontId="14" fillId="13" borderId="9" xfId="0" applyNumberFormat="1" applyFont="1" applyFill="1" applyBorder="1" applyAlignment="1">
      <x:alignment horizontal="left" vertical="center" wrapText="1"/>
    </x:xf>
    <x:xf numFmtId="0" fontId="14" fillId="13" borderId="0" xfId="0" applyNumberFormat="1" applyFont="1" applyFill="1" applyBorder="1" applyAlignment="1">
      <x:alignment horizontal="left" vertical="center" wrapText="1"/>
    </x:xf>
    <x:xf numFmtId="0" fontId="14" fillId="13" borderId="10" xfId="0" applyNumberFormat="1" applyFont="1" applyFill="1" applyBorder="1" applyAlignment="1">
      <x:alignment horizontal="left" vertical="center" wrapText="1"/>
    </x:xf>
    <x:xf numFmtId="0" fontId="14" fillId="13" borderId="11" xfId="0" applyNumberFormat="1" applyFont="1" applyFill="1" applyBorder="1" applyAlignment="1">
      <x:alignment horizontal="left" vertical="center" wrapText="1"/>
    </x:xf>
    <x:xf numFmtId="0" fontId="14" fillId="13" borderId="12" xfId="0" applyNumberFormat="1" applyFont="1" applyFill="1" applyBorder="1" applyAlignment="1">
      <x:alignment horizontal="left" vertical="center" wrapText="1"/>
    </x:xf>
    <x:xf numFmtId="0" fontId="14" fillId="13" borderId="13" xfId="0" applyNumberFormat="1" applyFont="1" applyFill="1" applyBorder="1" applyAlignment="1">
      <x:alignment horizontal="left" vertical="center" wrapText="1"/>
    </x:xf>
    <x:xf numFmtId="167" fontId="6" fillId="13" borderId="1" xfId="0" applyNumberFormat="1" applyFont="1" applyFill="1" applyBorder="1" applyAlignment="1">
      <x:alignment horizontal="right" vertical="center"/>
    </x:xf>
    <x:xf numFmtId="168" fontId="6" fillId="13" borderId="1" xfId="0" applyNumberFormat="1" applyFont="1" applyFill="1" applyBorder="1" applyAlignment="1">
      <x:alignment horizontal="right" vertical="center"/>
    </x:xf>
    <x:xf numFmtId="0" fontId="15" fillId="13" borderId="6" xfId="0" applyNumberFormat="1" applyFont="1" applyFill="1" applyBorder="1" applyAlignment="1">
      <x:alignment horizontal="left" vertical="center" wrapText="1"/>
    </x:xf>
    <x:xf numFmtId="0" fontId="15" fillId="13" borderId="7" xfId="0" applyNumberFormat="1" applyFont="1" applyFill="1" applyBorder="1" applyAlignment="1">
      <x:alignment horizontal="left" vertical="center" wrapText="1"/>
    </x:xf>
    <x:xf numFmtId="0" fontId="15" fillId="13" borderId="8" xfId="0" applyNumberFormat="1" applyFont="1" applyFill="1" applyBorder="1" applyAlignment="1">
      <x:alignment horizontal="left" vertical="center" wrapText="1"/>
    </x:xf>
    <x:xf numFmtId="0" fontId="15" fillId="13" borderId="9" xfId="0" applyNumberFormat="1" applyFont="1" applyFill="1" applyBorder="1" applyAlignment="1">
      <x:alignment horizontal="left" vertical="center" wrapText="1"/>
    </x:xf>
    <x:xf numFmtId="0" fontId="15" fillId="13" borderId="0" xfId="0" applyNumberFormat="1" applyFont="1" applyFill="1" applyBorder="1" applyAlignment="1">
      <x:alignment horizontal="left" vertical="center" wrapText="1"/>
    </x:xf>
    <x:xf numFmtId="0" fontId="15" fillId="13" borderId="10" xfId="0" applyNumberFormat="1" applyFont="1" applyFill="1" applyBorder="1" applyAlignment="1">
      <x:alignment horizontal="left" vertical="center" wrapText="1"/>
    </x:xf>
    <x:xf numFmtId="170" fontId="6" fillId="13" borderId="1" xfId="0" applyNumberFormat="1" applyFont="1" applyFill="1" applyBorder="1" applyAlignment="1">
      <x:alignment horizontal="right" vertical="center"/>
    </x:xf>
    <x:xf numFmtId="0" fontId="15" fillId="13" borderId="11" xfId="0" applyNumberFormat="1" applyFont="1" applyFill="1" applyBorder="1" applyAlignment="1">
      <x:alignment horizontal="left" vertical="center" wrapText="1"/>
    </x:xf>
    <x:xf numFmtId="0" fontId="15" fillId="13" borderId="12" xfId="0" applyNumberFormat="1" applyFont="1" applyFill="1" applyBorder="1" applyAlignment="1">
      <x:alignment horizontal="left" vertical="center" wrapText="1"/>
    </x:xf>
    <x:xf numFmtId="0" fontId="15" fillId="13" borderId="13" xfId="0" applyNumberFormat="1" applyFont="1" applyFill="1" applyBorder="1" applyAlignment="1">
      <x:alignment horizontal="left" vertical="center" wrapText="1"/>
    </x:xf>
    <x:xf numFmtId="0" fontId="20" fillId="13" borderId="0" xfId="0" applyNumberFormat="1" applyFont="1" applyFill="1" applyBorder="1" applyAlignment="1">
      <x:alignment vertical="center"/>
    </x:xf>
    <x:xf numFmtId="0" fontId="20" fillId="13" borderId="3" xfId="0" applyNumberFormat="1" applyFont="1" applyFill="1" applyBorder="1" applyAlignment="1">
      <x:alignment horizontal="left" vertical="center"/>
    </x:xf>
    <x:xf numFmtId="0" fontId="20" fillId="13" borderId="4" xfId="0" applyNumberFormat="1" applyFont="1" applyFill="1" applyBorder="1" applyAlignment="1">
      <x:alignment horizontal="left" vertical="center"/>
    </x:xf>
    <x:xf numFmtId="0" fontId="20" fillId="13" borderId="5" xfId="0" applyNumberFormat="1" applyFont="1" applyFill="1" applyBorder="1" applyAlignment="1">
      <x:alignment horizontal="left" vertical="center"/>
    </x:xf>
    <x:xf numFmtId="0" fontId="21" fillId="13" borderId="0" xfId="0" applyNumberFormat="1" applyFont="1" applyFill="1" applyBorder="1" applyAlignment="1">
      <x:alignment vertical="center"/>
    </x:xf>
    <x:xf numFmtId="164" fontId="20" fillId="13" borderId="3" xfId="0" applyNumberFormat="1" applyFont="1" applyFill="1" applyBorder="1" applyAlignment="1">
      <x:alignment horizontal="left" vertical="center"/>
    </x:xf>
    <x:xf numFmtId="164" fontId="20" fillId="13" borderId="4" xfId="0" applyNumberFormat="1" applyFont="1" applyFill="1" applyBorder="1" applyAlignment="1">
      <x:alignment horizontal="left" vertical="center"/>
    </x:xf>
    <x:xf numFmtId="164" fontId="20" fillId="13" borderId="5" xfId="0" applyNumberFormat="1" applyFont="1" applyFill="1" applyBorder="1" applyAlignment="1">
      <x:alignment horizontal="left" vertical="center"/>
    </x:xf>
    <x:xf numFmtId="0" fontId="21" fillId="13" borderId="0" xfId="0" applyNumberFormat="1" applyFont="1" applyFill="1" applyBorder="1" applyAlignment="1">
      <x:alignment horizontal="left" vertical="center"/>
    </x:xf>
    <x:xf numFmtId="0" fontId="20" fillId="13" borderId="6" xfId="0" applyNumberFormat="1" applyFont="1" applyFill="1" applyBorder="1" applyAlignment="1">
      <x:alignment horizontal="left" vertical="center"/>
    </x:xf>
    <x:xf numFmtId="0" fontId="20" fillId="13" borderId="7" xfId="0" applyNumberFormat="1" applyFont="1" applyFill="1" applyBorder="1" applyAlignment="1">
      <x:alignment horizontal="left" vertical="center"/>
    </x:xf>
    <x:xf numFmtId="0" fontId="20" fillId="13" borderId="8" xfId="0" applyNumberFormat="1" applyFont="1" applyFill="1" applyBorder="1" applyAlignment="1">
      <x:alignment horizontal="left" vertical="center"/>
    </x:xf>
    <x:xf numFmtId="165" fontId="20" fillId="13" borderId="9" xfId="0" applyNumberFormat="1" applyFont="1" applyFill="1" applyBorder="1" applyAlignment="1">
      <x:alignment horizontal="left" vertical="center"/>
    </x:xf>
    <x:xf numFmtId="165" fontId="20" fillId="13" borderId="0" xfId="0" applyNumberFormat="1" applyFont="1" applyFill="1" applyBorder="1" applyAlignment="1">
      <x:alignment horizontal="left" vertical="center"/>
    </x:xf>
    <x:xf numFmtId="165" fontId="20" fillId="13" borderId="10" xfId="0" applyNumberFormat="1" applyFont="1" applyFill="1" applyBorder="1" applyAlignment="1">
      <x:alignment horizontal="left" vertical="center"/>
    </x:xf>
    <x:xf numFmtId="166" fontId="20" fillId="13" borderId="9" xfId="0" applyNumberFormat="1" applyFont="1" applyFill="1" applyBorder="1" applyAlignment="1">
      <x:alignment horizontal="left" vertical="center"/>
    </x:xf>
    <x:xf numFmtId="166" fontId="20" fillId="13" borderId="0" xfId="0" applyNumberFormat="1" applyFont="1" applyFill="1" applyBorder="1" applyAlignment="1">
      <x:alignment horizontal="left" vertical="center"/>
    </x:xf>
    <x:xf numFmtId="166" fontId="20" fillId="13" borderId="10" xfId="0" applyNumberFormat="1" applyFont="1" applyFill="1" applyBorder="1" applyAlignment="1">
      <x:alignment horizontal="left" vertical="center"/>
    </x:xf>
    <x:xf numFmtId="171" fontId="20" fillId="13" borderId="11" xfId="0" applyNumberFormat="1" applyFont="1" applyFill="1" applyBorder="1" applyAlignment="1">
      <x:alignment horizontal="right" vertical="center"/>
    </x:xf>
    <x:xf numFmtId="0" fontId="22" fillId="13" borderId="12" xfId="0" applyNumberFormat="1" applyFont="1" applyFill="1" applyBorder="1" applyAlignment="1">
      <x:alignment horizontal="left" vertical="center"/>
    </x:xf>
    <x:xf numFmtId="171" fontId="20" fillId="13" borderId="12" xfId="0" applyNumberFormat="1" applyFont="1" applyFill="1" applyBorder="1" applyAlignment="1">
      <x:alignment horizontal="right" vertical="center"/>
    </x:xf>
    <x:xf numFmtId="0" fontId="22" fillId="13" borderId="13" xfId="0" applyNumberFormat="1" applyFont="1" applyFill="1" applyBorder="1" applyAlignment="1">
      <x:alignment horizontal="left" vertical="center"/>
    </x:xf>
    <x:xf numFmtId="0" fontId="22" fillId="13" borderId="0" xfId="0" applyNumberFormat="1" applyFont="1" applyFill="1" applyBorder="1" applyAlignment="1">
      <x:alignment vertical="center"/>
    </x:xf>
    <x:xf numFmtId="167" fontId="20" fillId="13" borderId="9" xfId="0" applyNumberFormat="1" applyFont="1" applyFill="1" applyBorder="1" applyAlignment="1">
      <x:alignment horizontal="left" vertical="center"/>
    </x:xf>
    <x:xf numFmtId="167" fontId="20" fillId="13" borderId="0" xfId="0" applyNumberFormat="1" applyFont="1" applyFill="1" applyBorder="1" applyAlignment="1">
      <x:alignment horizontal="left" vertical="center"/>
    </x:xf>
    <x:xf numFmtId="167" fontId="20" fillId="13" borderId="10" xfId="0" applyNumberFormat="1" applyFont="1" applyFill="1" applyBorder="1" applyAlignment="1">
      <x:alignment horizontal="left" vertical="center"/>
    </x:xf>
    <x:xf numFmtId="168" fontId="20" fillId="13" borderId="9" xfId="0" applyNumberFormat="1" applyFont="1" applyFill="1" applyBorder="1" applyAlignment="1">
      <x:alignment horizontal="left" vertical="center"/>
    </x:xf>
    <x:xf numFmtId="168" fontId="20" fillId="13" borderId="0" xfId="0" applyNumberFormat="1" applyFont="1" applyFill="1" applyBorder="1" applyAlignment="1">
      <x:alignment horizontal="left" vertical="center"/>
    </x:xf>
    <x:xf numFmtId="168" fontId="20" fillId="13" borderId="10" xfId="0" applyNumberFormat="1" applyFont="1" applyFill="1" applyBorder="1" applyAlignment="1">
      <x:alignment horizontal="left" vertical="center"/>
    </x:xf>
    <x:xf numFmtId="170" fontId="20" fillId="13" borderId="9" xfId="0" applyNumberFormat="1" applyFont="1" applyFill="1" applyBorder="1" applyAlignment="1">
      <x:alignment horizontal="left" vertical="center"/>
    </x:xf>
    <x:xf numFmtId="170" fontId="20" fillId="13" borderId="0" xfId="0" applyNumberFormat="1" applyFont="1" applyFill="1" applyBorder="1" applyAlignment="1">
      <x:alignment horizontal="left" vertical="center"/>
    </x:xf>
    <x:xf numFmtId="170" fontId="20" fillId="13" borderId="10" xfId="0" applyNumberFormat="1" applyFont="1" applyFill="1" applyBorder="1" applyAlignment="1">
      <x:alignment horizontal="left" vertical="center"/>
    </x:xf>
    <x:xf numFmtId="0" fontId="20" fillId="13" borderId="0" xfId="0" applyNumberFormat="1" applyFont="1" applyFill="1" applyBorder="1" applyAlignment="1">
      <x:alignment horizontal="left" vertical="center"/>
    </x:xf>
    <x:xf numFmtId="0" fontId="20" fillId="13" borderId="1" xfId="0" applyNumberFormat="1" applyFont="1" applyFill="1" applyBorder="1" applyAlignment="1">
      <x:alignment horizontal="center" vertical="center" wrapText="1"/>
    </x:xf>
    <x:xf numFmtId="0" fontId="20" fillId="13" borderId="1" xfId="0" applyNumberFormat="1" applyFont="1" applyFill="1" applyBorder="1" applyAlignment="1">
      <x:alignment horizontal="left" vertical="center"/>
    </x:xf>
    <x:xf numFmtId="0" fontId="22" fillId="13" borderId="1" xfId="0" applyNumberFormat="1" applyFont="1" applyFill="1" applyBorder="1" applyAlignment="1">
      <x:alignment horizontal="center" vertical="center"/>
    </x:xf>
    <x:xf numFmtId="165" fontId="22" fillId="13" borderId="1" xfId="0" applyNumberFormat="1" applyFont="1" applyFill="1" applyBorder="1" applyAlignment="1">
      <x:alignment horizontal="right" vertical="center"/>
    </x:xf>
    <x:xf numFmtId="166" fontId="22" fillId="13" borderId="1" xfId="0" applyNumberFormat="1" applyFont="1" applyFill="1" applyBorder="1" applyAlignment="1">
      <x:alignment horizontal="right" vertical="center"/>
    </x:xf>
    <x:xf numFmtId="0" fontId="22" fillId="13" borderId="6" xfId="0" applyNumberFormat="1" applyFont="1" applyFill="1" applyBorder="1" applyAlignment="1">
      <x:alignment horizontal="left" vertical="center" wrapText="1"/>
    </x:xf>
    <x:xf numFmtId="0" fontId="22" fillId="13" borderId="7" xfId="0" applyNumberFormat="1" applyFont="1" applyFill="1" applyBorder="1" applyAlignment="1">
      <x:alignment horizontal="left" vertical="center" wrapText="1"/>
    </x:xf>
    <x:xf numFmtId="0" fontId="22" fillId="13" borderId="8" xfId="0" applyNumberFormat="1" applyFont="1" applyFill="1" applyBorder="1" applyAlignment="1">
      <x:alignment horizontal="left" vertical="center" wrapText="1"/>
    </x:xf>
    <x:xf numFmtId="0" fontId="22" fillId="13" borderId="9" xfId="0" applyNumberFormat="1" applyFont="1" applyFill="1" applyBorder="1" applyAlignment="1">
      <x:alignment horizontal="left" vertical="center" wrapText="1"/>
    </x:xf>
    <x:xf numFmtId="0" fontId="22" fillId="13" borderId="0" xfId="0" applyNumberFormat="1" applyFont="1" applyFill="1" applyBorder="1" applyAlignment="1">
      <x:alignment horizontal="left" vertical="center" wrapText="1"/>
    </x:xf>
    <x:xf numFmtId="0" fontId="22" fillId="13" borderId="10" xfId="0" applyNumberFormat="1" applyFont="1" applyFill="1" applyBorder="1" applyAlignment="1">
      <x:alignment horizontal="left" vertical="center" wrapText="1"/>
    </x:xf>
    <x:xf numFmtId="0" fontId="22" fillId="13" borderId="11" xfId="0" applyNumberFormat="1" applyFont="1" applyFill="1" applyBorder="1" applyAlignment="1">
      <x:alignment horizontal="left" vertical="center" wrapText="1"/>
    </x:xf>
    <x:xf numFmtId="0" fontId="22" fillId="13" borderId="12" xfId="0" applyNumberFormat="1" applyFont="1" applyFill="1" applyBorder="1" applyAlignment="1">
      <x:alignment horizontal="left" vertical="center" wrapText="1"/>
    </x:xf>
    <x:xf numFmtId="0" fontId="22" fillId="13" borderId="13" xfId="0" applyNumberFormat="1" applyFont="1" applyFill="1" applyBorder="1" applyAlignment="1">
      <x:alignment horizontal="left" vertical="center" wrapText="1"/>
    </x:xf>
    <x:xf numFmtId="167" fontId="22" fillId="13" borderId="1" xfId="0" applyNumberFormat="1" applyFont="1" applyFill="1" applyBorder="1" applyAlignment="1">
      <x:alignment horizontal="right" vertical="center"/>
    </x:xf>
    <x:xf numFmtId="168" fontId="22" fillId="13" borderId="1" xfId="0" applyNumberFormat="1" applyFont="1" applyFill="1" applyBorder="1" applyAlignment="1">
      <x:alignment horizontal="right" vertical="center"/>
    </x:xf>
    <x:xf numFmtId="0" fontId="21" fillId="13" borderId="6" xfId="0" applyNumberFormat="1" applyFont="1" applyFill="1" applyBorder="1" applyAlignment="1">
      <x:alignment horizontal="left" vertical="center" wrapText="1"/>
    </x:xf>
    <x:xf numFmtId="0" fontId="21" fillId="13" borderId="7" xfId="0" applyNumberFormat="1" applyFont="1" applyFill="1" applyBorder="1" applyAlignment="1">
      <x:alignment horizontal="left" vertical="center" wrapText="1"/>
    </x:xf>
    <x:xf numFmtId="0" fontId="21" fillId="13" borderId="8" xfId="0" applyNumberFormat="1" applyFont="1" applyFill="1" applyBorder="1" applyAlignment="1">
      <x:alignment horizontal="left" vertical="center" wrapText="1"/>
    </x:xf>
    <x:xf numFmtId="0" fontId="21" fillId="13" borderId="9" xfId="0" applyNumberFormat="1" applyFont="1" applyFill="1" applyBorder="1" applyAlignment="1">
      <x:alignment horizontal="left" vertical="center" wrapText="1"/>
    </x:xf>
    <x:xf numFmtId="0" fontId="21" fillId="13" borderId="0" xfId="0" applyNumberFormat="1" applyFont="1" applyFill="1" applyBorder="1" applyAlignment="1">
      <x:alignment horizontal="left" vertical="center" wrapText="1"/>
    </x:xf>
    <x:xf numFmtId="0" fontId="21" fillId="13" borderId="10" xfId="0" applyNumberFormat="1" applyFont="1" applyFill="1" applyBorder="1" applyAlignment="1">
      <x:alignment horizontal="left" vertical="center" wrapText="1"/>
    </x:xf>
    <x:xf numFmtId="170" fontId="22" fillId="13" borderId="1" xfId="0" applyNumberFormat="1" applyFont="1" applyFill="1" applyBorder="1" applyAlignment="1">
      <x:alignment horizontal="right" vertical="center"/>
    </x:xf>
    <x:xf numFmtId="0" fontId="21" fillId="13" borderId="11" xfId="0" applyNumberFormat="1" applyFont="1" applyFill="1" applyBorder="1" applyAlignment="1">
      <x:alignment horizontal="left" vertical="center" wrapText="1"/>
    </x:xf>
    <x:xf numFmtId="0" fontId="21" fillId="13" borderId="12" xfId="0" applyNumberFormat="1" applyFont="1" applyFill="1" applyBorder="1" applyAlignment="1">
      <x:alignment horizontal="left" vertical="center" wrapText="1"/>
    </x:xf>
    <x:xf numFmtId="0" fontId="21" fillId="13" borderId="13" xfId="0" applyNumberFormat="1" applyFont="1" applyFill="1" applyBorder="1" applyAlignment="1">
      <x:alignment horizontal="left" vertical="center" wrapText="1"/>
    </x:xf>
    <x:xf numFmtId="0" fontId="23" fillId="13" borderId="0" xfId="0" applyNumberFormat="1" applyFont="1" applyFill="1" applyBorder="1" applyAlignment="1">
      <x:alignment vertical="center"/>
    </x:xf>
    <x:xf numFmtId="0" fontId="23" fillId="13" borderId="0" xfId="0" applyNumberFormat="1" applyFont="1" applyFill="1" applyBorder="1" applyAlignment="1">
      <x:alignment vertical="center" wrapText="1"/>
    </x:xf>
    <x:xf numFmtId="0" fontId="24" fillId="13" borderId="0" xfId="0" applyNumberFormat="1" applyFont="1" applyFill="1" applyBorder="1" applyAlignment="1">
      <x:alignment horizontal="left" vertical="center"/>
    </x:xf>
    <x:xf numFmtId="200" fontId="20" fillId="13" borderId="3" xfId="0" applyNumberFormat="1" applyFont="1" applyFill="1" applyBorder="1" applyAlignment="1">
      <x:alignment horizontal="left" vertical="center"/>
    </x:xf>
    <x:xf numFmtId="0" fontId="0" fillId="14" borderId="0" xfId="0" applyNumberFormat="1" applyFont="1" applyFill="1" applyBorder="1"/>
    <x:xf numFmtId="0" fontId="25" fillId="14" borderId="0" xfId="0" applyNumberFormat="1" applyFont="1" applyFill="1" applyBorder="1"/>
    <x:xf numFmtId="0" fontId="25" fillId="14" borderId="0" xfId="0" applyNumberFormat="1" applyFont="1" applyFill="1" applyBorder="1" applyAlignment="1">
      <x:alignment wrapText="1"/>
    </x:xf>
    <x:xf numFmtId="0" fontId="25" fillId="14" borderId="0" xfId="0" applyNumberFormat="1" applyFont="1" applyFill="1" applyBorder="1" applyAlignment="1">
      <x:alignment vertical="top" wrapText="1"/>
    </x:xf>
    <x:xf numFmtId="0" fontId="25" fillId="13" borderId="0" xfId="0" applyNumberFormat="1" applyFont="1" applyFill="1" applyBorder="1" applyAlignment="1">
      <x:alignment vertical="top" wrapText="1"/>
    </x:xf>
    <x:xf numFmtId="0" fontId="26" fillId="13" borderId="0" xfId="0" applyNumberFormat="1" applyFont="1" applyFill="1" applyBorder="1" applyAlignment="1">
      <x:alignment vertical="top" wrapText="1"/>
    </x:xf>
    <x:xf numFmtId="0" fontId="26" fillId="13" borderId="0" xfId="0" applyNumberFormat="1" applyFont="1" applyFill="1" applyBorder="1" applyAlignment="1">
      <x:alignment vertical="center" wrapText="1"/>
    </x:xf>
    <x:xf numFmtId="0" fontId="25" fillId="15" borderId="0" xfId="0" applyNumberFormat="1" applyFont="1" applyFill="1" applyBorder="1" applyAlignment="1">
      <x:alignment vertical="top" wrapText="1"/>
    </x:xf>
    <x:xf numFmtId="0" fontId="27" fillId="15" borderId="0" xfId="0" applyNumberFormat="1" applyFont="1" applyFill="1" applyBorder="1" applyAlignment="1">
      <x:alignment vertical="top" wrapText="1"/>
    </x:xf>
    <x:xf numFmtId="0" fontId="27" fillId="15" borderId="0" xfId="0" applyNumberFormat="1" applyFont="1" applyFill="1" applyBorder="1" applyAlignment="1">
      <x:alignment vertical="center" wrapText="1"/>
    </x:xf>
    <x:xf numFmtId="201" fontId="25" fillId="14" borderId="0" xfId="0" applyNumberFormat="1" applyFont="1" applyFill="1" applyBorder="1" applyAlignment="1">
      <x:alignment vertical="top" wrapText="1"/>
    </x:xf>
    <x:xf numFmtId="0" fontId="25" fillId="16" borderId="0" xfId="0" applyNumberFormat="1" applyFont="1" applyFill="1" applyBorder="1" applyAlignment="1">
      <x:alignment vertical="top" wrapText="1"/>
    </x:xf>
    <x:xf numFmtId="0" fontId="20" fillId="16" borderId="0" xfId="0" applyNumberFormat="1" applyFont="1" applyFill="1" applyBorder="1" applyAlignment="1">
      <x:alignment vertical="top" wrapText="1"/>
    </x:xf>
    <x:xf numFmtId="0" fontId="20" fillId="16" borderId="0" xfId="0" applyNumberFormat="1" applyFont="1" applyFill="1" applyBorder="1" applyAlignment="1">
      <x:alignment vertical="center" wrapText="1"/>
    </x:xf>
    <x:xf numFmtId="0" fontId="25" fillId="17" borderId="0" xfId="0" applyNumberFormat="1" applyFont="1" applyFill="1" applyBorder="1" applyAlignment="1">
      <x:alignment vertical="top" wrapText="1"/>
    </x:xf>
    <x:xf numFmtId="202" fontId="20" fillId="16" borderId="0" xfId="0" applyNumberFormat="1" applyFont="1" applyFill="1" applyBorder="1" applyAlignment="1">
      <x:alignment vertical="center" wrapText="1"/>
    </x:xf>
    <x:xf numFmtId="202" fontId="25" fillId="14" borderId="0" xfId="0" applyNumberFormat="1" applyFont="1" applyFill="1" applyBorder="1" applyAlignment="1">
      <x:alignment vertical="top" wrapText="1"/>
    </x:xf>
    <x:xf numFmtId="202" fontId="25" fillId="17" borderId="0" xfId="0" applyNumberFormat="1" applyFont="1" applyFill="1" applyBorder="1" applyAlignment="1">
      <x:alignment vertical="top" wrapText="1"/>
    </x:xf>
    <x:xf numFmtId="202" fontId="20" fillId="14" borderId="0" xfId="0" applyNumberFormat="1" applyFont="1" applyFill="1" applyBorder="1" applyAlignment="1">
      <x:alignment vertical="center" wrapText="1"/>
    </x:xf>
    <x:xf numFmtId="201" fontId="25" fillId="17" borderId="0" xfId="0" applyNumberFormat="1" applyFont="1" applyFill="1" applyBorder="1" applyAlignment="1">
      <x:alignment vertical="top" wrapText="1"/>
    </x:xf>
    <x:xf numFmtId="0" fontId="28" fillId="14" borderId="0" xfId="0" applyNumberFormat="1" applyFont="1" applyFill="1" applyBorder="1" applyAlignment="1">
      <x:alignment vertical="top" wrapText="1"/>
    </x:xf>
    <x:xf numFmtId="0" fontId="28" fillId="17" borderId="0" xfId="0" applyNumberFormat="1" applyFont="1" applyFill="1" applyBorder="1" applyAlignment="1">
      <x:alignment vertical="top" wrapText="1"/>
    </x:xf>
    <x:xf numFmtId="0" fontId="25" fillId="18" borderId="0" xfId="0" applyNumberFormat="1" applyFont="1" applyFill="1" applyBorder="1" applyAlignment="1">
      <x:alignment vertical="top" wrapText="1"/>
    </x:xf>
    <x:xf numFmtId="203" fontId="25" fillId="14" borderId="0" xfId="0" applyNumberFormat="1" applyFont="1" applyFill="1" applyBorder="1" applyAlignment="1">
      <x:alignment vertical="top" wrapText="1"/>
    </x:xf>
    <x:xf numFmtId="203" fontId="25" fillId="17" borderId="0" xfId="0" applyNumberFormat="1" applyFont="1" applyFill="1" applyBorder="1" applyAlignment="1">
      <x:alignment vertical="top" wrapText="1"/>
    </x:xf>
    <x:xf numFmtId="0" fontId="29" fillId="16" borderId="0" xfId="0" applyNumberFormat="1" applyFont="1" applyFill="1" applyBorder="1" applyAlignment="1">
      <x:alignment vertical="top" wrapText="1"/>
    </x:xf>
    <x:xf numFmtId="0" fontId="29" fillId="16" borderId="0" xfId="0" applyNumberFormat="1" applyFont="1" applyFill="1" applyBorder="1" applyAlignment="1">
      <x:alignment vertical="center" wrapText="1"/>
    </x:xf>
    <x:xf numFmtId="0" fontId="27" fillId="14" borderId="0" xfId="0" applyNumberFormat="1" applyFont="1" applyFill="1" applyBorder="1" applyAlignment="1">
      <x:alignment vertical="top" wrapText="1"/>
    </x:xf>
    <x:xf numFmtId="0" fontId="27" fillId="14" borderId="0" xfId="0" applyNumberFormat="1" applyFont="1" applyFill="1" applyBorder="1" applyAlignment="1">
      <x:alignment vertical="center" wrapText="1"/>
    </x:xf>
    <x:xf numFmtId="0" fontId="30" fillId="14" borderId="0" xfId="0" applyNumberFormat="1" applyFont="1" applyFill="1" applyBorder="1" applyAlignment="1">
      <x:alignment vertical="top" wrapText="1"/>
    </x:xf>
    <x:xf numFmtId="0" fontId="30" fillId="14" borderId="0" xfId="0" applyNumberFormat="1" applyFont="1" applyFill="1" applyBorder="1" applyAlignment="1">
      <x:alignment vertical="center" wrapText="1"/>
    </x:xf>
    <x:xf numFmtId="204" fontId="25" fillId="14" borderId="0" xfId="0" applyNumberFormat="1" applyFont="1" applyFill="1" applyBorder="1" applyAlignment="1">
      <x:alignment vertical="top" wrapText="1"/>
    </x:xf>
    <x:xf numFmtId="204" fontId="25" fillId="17" borderId="0" xfId="0" applyNumberFormat="1" applyFont="1" applyFill="1" applyBorder="1" applyAlignment="1">
      <x:alignment vertical="top" wrapText="1"/>
    </x:xf>
    <x:xf numFmtId="205" fontId="25" fillId="14" borderId="0" xfId="0" applyNumberFormat="1" applyFont="1" applyFill="1" applyBorder="1" applyAlignment="1">
      <x:alignment vertical="top" wrapText="1"/>
    </x:xf>
    <x:xf numFmtId="205" fontId="25" fillId="17" borderId="0" xfId="0" applyNumberFormat="1" applyFont="1" applyFill="1" applyBorder="1" applyAlignment="1">
      <x:alignment vertical="top" wrapText="1"/>
    </x:xf>
    <x:xf numFmtId="0" fontId="25" fillId="14" borderId="0" xfId="0" applyNumberFormat="1" applyFont="1" applyFill="1" applyBorder="1" applyAlignment="1">
      <x:alignment horizontal="center" vertical="top" wrapText="1"/>
    </x:xf>
    <x:xf numFmtId="0" fontId="25" fillId="17" borderId="0" xfId="0" applyNumberFormat="1" applyFont="1" applyFill="1" applyBorder="1" applyAlignment="1">
      <x:alignment horizontal="center" vertical="top" wrapText="1"/>
    </x:xf>
    <x:xf numFmtId="206" fontId="25" fillId="14" borderId="0" xfId="0" applyNumberFormat="1" applyFont="1" applyFill="1" applyBorder="1" applyAlignment="1">
      <x:alignment vertical="top" wrapText="1"/>
    </x:xf>
    <x:xf numFmtId="206" fontId="25" fillId="17" borderId="0" xfId="0" applyNumberFormat="1" applyFont="1" applyFill="1" applyBorder="1" applyAlignment="1">
      <x:alignment vertical="top" wrapText="1"/>
    </x:xf>
    <x:xf numFmtId="207" fontId="25" fillId="14" borderId="0" xfId="0" applyNumberFormat="1" applyFont="1" applyFill="1" applyBorder="1" applyAlignment="1">
      <x:alignment vertical="top" wrapText="1"/>
    </x:xf>
    <x:xf numFmtId="207" fontId="25" fillId="17" borderId="0" xfId="0" applyNumberFormat="1" applyFont="1" applyFill="1" applyBorder="1" applyAlignment="1">
      <x:alignment vertical="top" wrapText="1"/>
    </x:xf>
    <x:xf numFmtId="208" fontId="25" fillId="14" borderId="0" xfId="0" applyNumberFormat="1" applyFont="1" applyFill="1" applyBorder="1" applyAlignment="1">
      <x:alignment vertical="top" wrapText="1"/>
    </x:xf>
    <x:xf numFmtId="0" fontId="20" fillId="19" borderId="6" xfId="0" applyNumberFormat="1" applyFont="1" applyFill="1" applyBorder="1" applyAlignment="1">
      <x:alignment horizontal="left" vertical="center"/>
    </x:xf>
    <x:xf numFmtId="0" fontId="20" fillId="19" borderId="7" xfId="0" applyNumberFormat="1" applyFont="1" applyFill="1" applyBorder="1" applyAlignment="1">
      <x:alignment horizontal="left" vertical="center"/>
    </x:xf>
    <x:xf numFmtId="0" fontId="20" fillId="19" borderId="8" xfId="0" applyNumberFormat="1" applyFont="1" applyFill="1" applyBorder="1" applyAlignment="1">
      <x:alignment horizontal="left" vertical="center"/>
    </x:xf>
    <x:xf numFmtId="165" fontId="20" fillId="19" borderId="9" xfId="0" applyNumberFormat="1" applyFont="1" applyFill="1" applyBorder="1" applyAlignment="1">
      <x:alignment horizontal="left" vertical="center"/>
    </x:xf>
    <x:xf numFmtId="165" fontId="20" fillId="19" borderId="0" xfId="0" applyNumberFormat="1" applyFont="1" applyFill="1" applyBorder="1" applyAlignment="1">
      <x:alignment horizontal="left" vertical="center"/>
    </x:xf>
    <x:xf numFmtId="165" fontId="20" fillId="19" borderId="10" xfId="0" applyNumberFormat="1" applyFont="1" applyFill="1" applyBorder="1" applyAlignment="1">
      <x:alignment horizontal="left" vertical="center"/>
    </x:xf>
    <x:xf numFmtId="171" fontId="20" fillId="19" borderId="11" xfId="0" applyNumberFormat="1" applyFont="1" applyFill="1" applyBorder="1" applyAlignment="1">
      <x:alignment horizontal="right" vertical="center"/>
    </x:xf>
    <x:xf numFmtId="0" fontId="22" fillId="19" borderId="12" xfId="0" applyNumberFormat="1" applyFont="1" applyFill="1" applyBorder="1" applyAlignment="1">
      <x:alignment horizontal="left" vertical="center"/>
    </x:xf>
    <x:xf numFmtId="171" fontId="20" fillId="19" borderId="12" xfId="0" applyNumberFormat="1" applyFont="1" applyFill="1" applyBorder="1" applyAlignment="1">
      <x:alignment horizontal="right" vertical="center"/>
    </x:xf>
    <x:xf numFmtId="0" fontId="22" fillId="19" borderId="13" xfId="0" applyNumberFormat="1" applyFont="1" applyFill="1" applyBorder="1" applyAlignment="1">
      <x:alignment horizontal="left" vertical="center"/>
    </x:xf>
    <x:xf numFmtId="0" fontId="31" fillId="19" borderId="6" xfId="0" applyNumberFormat="1" applyFont="1" applyFill="1" applyBorder="1" applyAlignment="1">
      <x:alignment horizontal="left" vertical="center"/>
    </x:xf>
    <x:xf numFmtId="204" fontId="20" fillId="19" borderId="9" xfId="0" applyNumberFormat="1" applyFont="1" applyFill="1" applyBorder="1" applyAlignment="1">
      <x:alignment horizontal="left" vertical="center"/>
    </x:xf>
    <x:xf numFmtId="204" fontId="32" fillId="19" borderId="9" xfId="0" applyNumberFormat="1" applyFont="1" applyFill="1" applyBorder="1" applyAlignment="1">
      <x:alignment horizontal="left" vertical="center"/>
    </x:xf>
    <x:xf numFmtId="171" fontId="33" fillId="19" borderId="11" xfId="0" applyNumberFormat="1" applyFont="1" applyFill="1" applyBorder="1" applyAlignment="1">
      <x:alignment horizontal="right" vertical="center"/>
    </x:xf>
    <x:xf numFmtId="0" fontId="33" fillId="19" borderId="12" xfId="0" applyNumberFormat="1" applyFont="1" applyFill="1" applyBorder="1" applyAlignment="1">
      <x:alignment horizontal="left" vertical="center"/>
    </x:xf>
    <x:xf numFmtId="171" fontId="33" fillId="19" borderId="12" xfId="0" applyNumberFormat="1" applyFont="1" applyFill="1" applyBorder="1" applyAlignment="1">
      <x:alignment horizontal="right" vertical="center"/>
    </x:xf>
    <x:xf numFmtId="0" fontId="33" fillId="19" borderId="13" xfId="0" applyNumberFormat="1" applyFont="1" applyFill="1" applyBorder="1" applyAlignment="1">
      <x:alignment horizontal="left" vertical="center"/>
    </x:xf>
    <x:xf numFmtId="171" fontId="33" fillId="19" borderId="11" xfId="0" applyNumberFormat="1" applyFont="1" applyFill="1" applyBorder="1" applyAlignment="1">
      <x:alignment horizontal="right" vertical="center" wrapText="1"/>
    </x:xf>
    <x:xf numFmtId="0" fontId="33" fillId="19" borderId="12" xfId="0" applyNumberFormat="1" applyFont="1" applyFill="1" applyBorder="1" applyAlignment="1">
      <x:alignment horizontal="left" vertical="center" wrapText="1"/>
    </x:xf>
    <x:xf numFmtId="171" fontId="33" fillId="19" borderId="12" xfId="0" applyNumberFormat="1" applyFont="1" applyFill="1" applyBorder="1" applyAlignment="1">
      <x:alignment horizontal="right" vertical="center" wrapText="1"/>
    </x:xf>
    <x:xf numFmtId="0" fontId="33" fillId="19" borderId="13" xfId="0" applyNumberFormat="1" applyFont="1" applyFill="1" applyBorder="1" applyAlignment="1">
      <x:alignment horizontal="left" vertical="center" wrapText="1"/>
    </x:xf>
    <x:xf numFmtId="171" fontId="33" fillId="19" borderId="11" xfId="0" applyNumberFormat="1" applyFont="1" applyFill="1" applyBorder="1" applyAlignment="1">
      <x:alignment horizontal="left" vertical="center" wrapText="1"/>
    </x:xf>
    <x:xf numFmtId="171" fontId="33" fillId="19" borderId="12" xfId="0" applyNumberFormat="1" applyFont="1" applyFill="1" applyBorder="1" applyAlignment="1">
      <x:alignment horizontal="left" vertical="center" wrapText="1"/>
    </x:xf>
    <x:xf numFmtId="166" fontId="20" fillId="19" borderId="9" xfId="0" applyNumberFormat="1" applyFont="1" applyFill="1" applyBorder="1" applyAlignment="1">
      <x:alignment horizontal="left" vertical="center"/>
    </x:xf>
    <x:xf numFmtId="166" fontId="20" fillId="19" borderId="0" xfId="0" applyNumberFormat="1" applyFont="1" applyFill="1" applyBorder="1" applyAlignment="1">
      <x:alignment horizontal="left" vertical="center"/>
    </x:xf>
    <x:xf numFmtId="166" fontId="20" fillId="19" borderId="10" xfId="0" applyNumberFormat="1" applyFont="1" applyFill="1" applyBorder="1" applyAlignment="1">
      <x:alignment horizontal="left" vertical="center"/>
    </x:xf>
    <x:xf numFmtId="167" fontId="20" fillId="19" borderId="9" xfId="0" applyNumberFormat="1" applyFont="1" applyFill="1" applyBorder="1" applyAlignment="1">
      <x:alignment horizontal="left" vertical="center"/>
    </x:xf>
    <x:xf numFmtId="167" fontId="20" fillId="19" borderId="0" xfId="0" applyNumberFormat="1" applyFont="1" applyFill="1" applyBorder="1" applyAlignment="1">
      <x:alignment horizontal="left" vertical="center"/>
    </x:xf>
    <x:xf numFmtId="167" fontId="20" fillId="19" borderId="10" xfId="0" applyNumberFormat="1" applyFont="1" applyFill="1" applyBorder="1" applyAlignment="1">
      <x:alignment horizontal="left" vertical="center"/>
    </x:xf>
    <x:xf numFmtId="168" fontId="20" fillId="19" borderId="9" xfId="0" applyNumberFormat="1" applyFont="1" applyFill="1" applyBorder="1" applyAlignment="1">
      <x:alignment horizontal="left" vertical="center"/>
    </x:xf>
    <x:xf numFmtId="168" fontId="20" fillId="19" borderId="0" xfId="0" applyNumberFormat="1" applyFont="1" applyFill="1" applyBorder="1" applyAlignment="1">
      <x:alignment horizontal="left" vertical="center"/>
    </x:xf>
    <x:xf numFmtId="168" fontId="20" fillId="19" borderId="10" xfId="0" applyNumberFormat="1" applyFont="1" applyFill="1" applyBorder="1" applyAlignment="1">
      <x:alignment horizontal="left" vertical="center"/>
    </x:xf>
    <x:xf numFmtId="170" fontId="20" fillId="19" borderId="9" xfId="0" applyNumberFormat="1" applyFont="1" applyFill="1" applyBorder="1" applyAlignment="1">
      <x:alignment horizontal="left" vertical="center"/>
    </x:xf>
    <x:xf numFmtId="170" fontId="20" fillId="19" borderId="0" xfId="0" applyNumberFormat="1" applyFont="1" applyFill="1" applyBorder="1" applyAlignment="1">
      <x:alignment horizontal="left" vertical="center"/>
    </x:xf>
    <x:xf numFmtId="170" fontId="20" fillId="19" borderId="10" xfId="0" applyNumberFormat="1" applyFont="1" applyFill="1" applyBorder="1" applyAlignment="1">
      <x:alignment horizontal="left" vertical="center"/>
    </x:xf>
    <x:xf numFmtId="0" fontId="20" fillId="16" borderId="0" xfId="0" applyNumberFormat="1" applyFont="1" applyFill="1" applyBorder="1" applyAlignment="1">
      <x:alignment horizontal="left" vertical="center"/>
    </x:xf>
    <x:xf numFmtId="0" fontId="20" fillId="19" borderId="1" xfId="0" applyNumberFormat="1" applyFont="1" applyFill="1" applyBorder="1" applyAlignment="1">
      <x:alignment horizontal="left" vertical="center"/>
    </x:xf>
    <x:xf numFmtId="0" fontId="22" fillId="19" borderId="1" xfId="0" applyNumberFormat="1" applyFont="1" applyFill="1" applyBorder="1" applyAlignment="1">
      <x:alignment horizontal="center" vertical="center"/>
    </x:xf>
    <x:xf numFmtId="0" fontId="20" fillId="19" borderId="1" xfId="0" applyNumberFormat="1" applyFont="1" applyFill="1" applyBorder="1" applyAlignment="1">
      <x:alignment horizontal="center" vertical="center"/>
    </x:xf>
    <x:xf numFmtId="0" fontId="20" fillId="19" borderId="1" xfId="0" applyNumberFormat="1" applyFont="1" applyFill="1" applyBorder="1" applyAlignment="1">
      <x:alignment horizontal="left" vertical="center" wrapText="1"/>
    </x:xf>
    <x:xf numFmtId="0" fontId="20" fillId="19" borderId="1" xfId="0" applyNumberFormat="1" applyFont="1" applyFill="1" applyBorder="1" applyAlignment="1">
      <x:alignment horizontal="center" vertical="center" wrapText="1"/>
    </x:xf>
    <x:xf numFmtId="165" fontId="22" fillId="19" borderId="1" xfId="0" applyNumberFormat="1" applyFont="1" applyFill="1" applyBorder="1" applyAlignment="1">
      <x:alignment horizontal="right" vertical="center"/>
    </x:xf>
    <x:xf numFmtId="166" fontId="22" fillId="19" borderId="1" xfId="0" applyNumberFormat="1" applyFont="1" applyFill="1" applyBorder="1" applyAlignment="1">
      <x:alignment horizontal="right" vertical="center"/>
    </x:xf>
    <x:xf numFmtId="0" fontId="22" fillId="19" borderId="0" xfId="0" applyNumberFormat="1" applyFont="1" applyFill="1" applyBorder="1" applyAlignment="1">
      <x:alignment vertical="center"/>
    </x:xf>
    <x:xf numFmtId="165" fontId="34" fillId="19" borderId="1" xfId="0" applyNumberFormat="1" applyFont="1" applyFill="1" applyBorder="1" applyAlignment="1">
      <x:alignment horizontal="right" vertical="center"/>
    </x:xf>
    <x:xf numFmtId="166" fontId="34" fillId="19" borderId="1" xfId="0" applyNumberFormat="1" applyFont="1" applyFill="1" applyBorder="1" applyAlignment="1">
      <x:alignment horizontal="right" vertical="center"/>
    </x:xf>
    <x:xf numFmtId="0" fontId="34" fillId="19" borderId="1" xfId="0" applyNumberFormat="1" applyFont="1" applyFill="1" applyBorder="1" applyAlignment="1">
      <x:alignment horizontal="center" vertical="center"/>
    </x:xf>
    <x:xf numFmtId="0" fontId="34" fillId="19" borderId="0" xfId="0" applyNumberFormat="1" applyFont="1" applyFill="1" applyBorder="1" applyAlignment="1">
      <x:alignment vertical="center"/>
    </x:xf>
    <x:xf numFmtId="165" fontId="34" fillId="19" borderId="1" xfId="0" applyNumberFormat="1" applyFont="1" applyFill="1" applyBorder="1" applyAlignment="1">
      <x:alignment horizontal="right" vertical="center" wrapText="1"/>
    </x:xf>
    <x:xf numFmtId="166" fontId="34" fillId="19" borderId="1" xfId="0" applyNumberFormat="1" applyFont="1" applyFill="1" applyBorder="1" applyAlignment="1">
      <x:alignment horizontal="right" vertical="center" wrapText="1"/>
    </x:xf>
    <x:xf numFmtId="0" fontId="34" fillId="19" borderId="1" xfId="0" applyNumberFormat="1" applyFont="1" applyFill="1" applyBorder="1" applyAlignment="1">
      <x:alignment horizontal="center" vertical="center" wrapText="1"/>
    </x:xf>
    <x:xf numFmtId="0" fontId="34" fillId="19" borderId="0" xfId="0" applyNumberFormat="1" applyFont="1" applyFill="1" applyBorder="1" applyAlignment="1">
      <x:alignment vertical="center" wrapText="1"/>
    </x:xf>
    <x:xf numFmtId="167" fontId="22" fillId="19" borderId="1" xfId="0" applyNumberFormat="1" applyFont="1" applyFill="1" applyBorder="1" applyAlignment="1">
      <x:alignment horizontal="right" vertical="center"/>
    </x:xf>
    <x:xf numFmtId="168" fontId="22" fillId="19" borderId="1" xfId="0" applyNumberFormat="1" applyFont="1" applyFill="1" applyBorder="1" applyAlignment="1">
      <x:alignment horizontal="right" vertical="center"/>
    </x:xf>
    <x:xf numFmtId="167" fontId="34" fillId="19" borderId="1" xfId="0" applyNumberFormat="1" applyFont="1" applyFill="1" applyBorder="1" applyAlignment="1">
      <x:alignment horizontal="right" vertical="center"/>
    </x:xf>
    <x:xf numFmtId="168" fontId="34" fillId="19" borderId="1" xfId="0" applyNumberFormat="1" applyFont="1" applyFill="1" applyBorder="1" applyAlignment="1">
      <x:alignment horizontal="right" vertical="center"/>
    </x:xf>
    <x:xf numFmtId="167" fontId="34" fillId="19" borderId="1" xfId="0" applyNumberFormat="1" applyFont="1" applyFill="1" applyBorder="1" applyAlignment="1">
      <x:alignment horizontal="right" vertical="center" wrapText="1"/>
    </x:xf>
    <x:xf numFmtId="168" fontId="34" fillId="19" borderId="1" xfId="0" applyNumberFormat="1" applyFont="1" applyFill="1" applyBorder="1" applyAlignment="1">
      <x:alignment horizontal="right" vertical="center" wrapText="1"/>
    </x:xf>
    <x:xf numFmtId="170" fontId="22" fillId="19" borderId="1" xfId="0" applyNumberFormat="1" applyFont="1" applyFill="1" applyBorder="1" applyAlignment="1">
      <x:alignment horizontal="right" vertical="center"/>
    </x:xf>
    <x:xf numFmtId="170" fontId="34" fillId="19" borderId="1" xfId="0" applyNumberFormat="1" applyFont="1" applyFill="1" applyBorder="1" applyAlignment="1">
      <x:alignment horizontal="right" vertical="center"/>
    </x:xf>
    <x:xf numFmtId="170" fontId="34" fillId="19" borderId="1" xfId="0" applyNumberFormat="1" applyFont="1" applyFill="1" applyBorder="1" applyAlignment="1">
      <x:alignment horizontal="right" vertical="center" wrapText="1"/>
    </x:xf>
    <x:xf numFmtId="0" fontId="22" fillId="19" borderId="6" xfId="0" applyNumberFormat="1" applyFont="1" applyFill="1" applyBorder="1" applyAlignment="1">
      <x:alignment horizontal="left" vertical="center" wrapText="1"/>
    </x:xf>
    <x:xf numFmtId="0" fontId="22" fillId="19" borderId="7" xfId="0" applyNumberFormat="1" applyFont="1" applyFill="1" applyBorder="1" applyAlignment="1">
      <x:alignment horizontal="left" vertical="center" wrapText="1"/>
    </x:xf>
    <x:xf numFmtId="0" fontId="22" fillId="19" borderId="8" xfId="0" applyNumberFormat="1" applyFont="1" applyFill="1" applyBorder="1" applyAlignment="1">
      <x:alignment horizontal="left" vertical="center" wrapText="1"/>
    </x:xf>
    <x:xf numFmtId="0" fontId="22" fillId="19" borderId="9" xfId="0" applyNumberFormat="1" applyFont="1" applyFill="1" applyBorder="1" applyAlignment="1">
      <x:alignment horizontal="left" vertical="center" wrapText="1"/>
    </x:xf>
    <x:xf numFmtId="0" fontId="22" fillId="19" borderId="0" xfId="0" applyNumberFormat="1" applyFont="1" applyFill="1" applyBorder="1" applyAlignment="1">
      <x:alignment horizontal="left" vertical="center" wrapText="1"/>
    </x:xf>
    <x:xf numFmtId="0" fontId="22" fillId="19" borderId="10" xfId="0" applyNumberFormat="1" applyFont="1" applyFill="1" applyBorder="1" applyAlignment="1">
      <x:alignment horizontal="left" vertical="center" wrapText="1"/>
    </x:xf>
    <x:xf numFmtId="0" fontId="22" fillId="19" borderId="11" xfId="0" applyNumberFormat="1" applyFont="1" applyFill="1" applyBorder="1" applyAlignment="1">
      <x:alignment horizontal="left" vertical="center" wrapText="1"/>
    </x:xf>
    <x:xf numFmtId="0" fontId="22" fillId="19" borderId="12" xfId="0" applyNumberFormat="1" applyFont="1" applyFill="1" applyBorder="1" applyAlignment="1">
      <x:alignment horizontal="left" vertical="center" wrapText="1"/>
    </x:xf>
    <x:xf numFmtId="0" fontId="22" fillId="19" borderId="13" xfId="0" applyNumberFormat="1" applyFont="1" applyFill="1" applyBorder="1" applyAlignment="1">
      <x:alignment horizontal="left" vertical="center" wrapText="1"/>
    </x:xf>
    <x:xf numFmtId="0" fontId="35" fillId="19" borderId="6" xfId="0" applyNumberFormat="1" applyFont="1" applyFill="1" applyBorder="1" applyAlignment="1">
      <x:alignment horizontal="left" vertical="center" wrapText="1"/>
    </x:xf>
    <x:xf numFmtId="0" fontId="35" fillId="19" borderId="7" xfId="0" applyNumberFormat="1" applyFont="1" applyFill="1" applyBorder="1" applyAlignment="1">
      <x:alignment horizontal="left" vertical="center" wrapText="1"/>
    </x:xf>
    <x:xf numFmtId="0" fontId="35" fillId="19" borderId="8" xfId="0" applyNumberFormat="1" applyFont="1" applyFill="1" applyBorder="1" applyAlignment="1">
      <x:alignment horizontal="left" vertical="center" wrapText="1"/>
    </x:xf>
    <x:xf numFmtId="0" fontId="35" fillId="19" borderId="9" xfId="0" applyNumberFormat="1" applyFont="1" applyFill="1" applyBorder="1" applyAlignment="1">
      <x:alignment horizontal="left" vertical="center" wrapText="1"/>
    </x:xf>
    <x:xf numFmtId="0" fontId="35" fillId="19" borderId="0" xfId="0" applyNumberFormat="1" applyFont="1" applyFill="1" applyBorder="1" applyAlignment="1">
      <x:alignment horizontal="left" vertical="center" wrapText="1"/>
    </x:xf>
    <x:xf numFmtId="0" fontId="35" fillId="19" borderId="10" xfId="0" applyNumberFormat="1" applyFont="1" applyFill="1" applyBorder="1" applyAlignment="1">
      <x:alignment horizontal="left" vertical="center" wrapText="1"/>
    </x:xf>
    <x:xf numFmtId="0" fontId="35" fillId="19" borderId="11" xfId="0" applyNumberFormat="1" applyFont="1" applyFill="1" applyBorder="1" applyAlignment="1">
      <x:alignment horizontal="left" vertical="center" wrapText="1"/>
    </x:xf>
    <x:xf numFmtId="0" fontId="35" fillId="19" borderId="12" xfId="0" applyNumberFormat="1" applyFont="1" applyFill="1" applyBorder="1" applyAlignment="1">
      <x:alignment horizontal="left" vertical="center" wrapText="1"/>
    </x:xf>
    <x:xf numFmtId="0" fontId="35" fillId="19" borderId="13" xfId="0" applyNumberFormat="1" applyFont="1" applyFill="1" applyBorder="1" applyAlignment="1">
      <x:alignment horizontal="left" vertical="center" wrapText="1"/>
    </x:xf>
    <x:xf numFmtId="0" fontId="35" fillId="19" borderId="0" xfId="0" applyNumberFormat="1" applyFont="1" applyFill="1" applyBorder="1" applyAlignment="1">
      <x:alignment vertical="center"/>
    </x:xf>
    <x:xf numFmtId="0" fontId="35" fillId="19" borderId="0" xfId="0" applyNumberFormat="1" applyFont="1" applyFill="1" applyBorder="1" applyAlignment="1">
      <x:alignment vertical="center" wrapText="1"/>
    </x:xf>
    <x:xf numFmtId="0" fontId="21" fillId="16" borderId="9" xfId="0" applyNumberFormat="1" applyFont="1" applyFill="1" applyBorder="1" applyAlignment="1">
      <x:alignment horizontal="left" vertical="center" wrapText="1"/>
    </x:xf>
    <x:xf numFmtId="0" fontId="21" fillId="16" borderId="0" xfId="0" applyNumberFormat="1" applyFont="1" applyFill="1" applyBorder="1" applyAlignment="1">
      <x:alignment horizontal="left" vertical="center" wrapText="1"/>
    </x:xf>
    <x:xf numFmtId="0" fontId="21" fillId="16" borderId="10" xfId="0" applyNumberFormat="1" applyFont="1" applyFill="1" applyBorder="1" applyAlignment="1">
      <x:alignment horizontal="left" vertical="center" wrapText="1"/>
    </x:xf>
    <x:xf numFmtId="0" fontId="21" fillId="16" borderId="11" xfId="0" applyNumberFormat="1" applyFont="1" applyFill="1" applyBorder="1" applyAlignment="1">
      <x:alignment horizontal="left" vertical="center" wrapText="1"/>
    </x:xf>
    <x:xf numFmtId="0" fontId="21" fillId="16" borderId="12" xfId="0" applyNumberFormat="1" applyFont="1" applyFill="1" applyBorder="1" applyAlignment="1">
      <x:alignment horizontal="left" vertical="center" wrapText="1"/>
    </x:xf>
    <x:xf numFmtId="0" fontId="21" fillId="16" borderId="13" xfId="0" applyNumberFormat="1" applyFont="1" applyFill="1" applyBorder="1" applyAlignment="1">
      <x:alignment horizontal="left" vertical="center" wrapText="1"/>
    </x:xf>
    <x:xf numFmtId="0" fontId="36" fillId="16" borderId="9" xfId="0" applyNumberFormat="1" applyFont="1" applyFill="1" applyBorder="1" applyAlignment="1">
      <x:alignment horizontal="left" vertical="center" wrapText="1"/>
    </x:xf>
    <x:xf numFmtId="0" fontId="36" fillId="16" borderId="0" xfId="0" applyNumberFormat="1" applyFont="1" applyFill="1" applyBorder="1" applyAlignment="1">
      <x:alignment horizontal="left" vertical="center" wrapText="1"/>
    </x:xf>
    <x:xf numFmtId="0" fontId="36" fillId="16" borderId="10" xfId="0" applyNumberFormat="1" applyFont="1" applyFill="1" applyBorder="1" applyAlignment="1">
      <x:alignment horizontal="left" vertical="center" wrapText="1"/>
    </x:xf>
    <x:xf numFmtId="0" fontId="36" fillId="16" borderId="11" xfId="0" applyNumberFormat="1" applyFont="1" applyFill="1" applyBorder="1" applyAlignment="1">
      <x:alignment horizontal="left" vertical="center" wrapText="1"/>
    </x:xf>
    <x:xf numFmtId="0" fontId="36" fillId="16" borderId="12" xfId="0" applyNumberFormat="1" applyFont="1" applyFill="1" applyBorder="1" applyAlignment="1">
      <x:alignment horizontal="left" vertical="center" wrapText="1"/>
    </x:xf>
    <x:xf numFmtId="0" fontId="36" fillId="16" borderId="13" xfId="0" applyNumberFormat="1" applyFont="1" applyFill="1" applyBorder="1" applyAlignment="1">
      <x:alignment horizontal="left" vertical="center" wrapText="1"/>
    </x:xf>
    <x:xf numFmtId="0" fontId="20" fillId="13" borderId="14" xfId="0" applyNumberFormat="1" applyFont="1" applyFill="1" applyBorder="1" applyAlignment="1">
      <x:alignment horizontal="center" vertical="center" wrapText="1"/>
    </x:xf>
    <x:xf numFmtId="0" fontId="20" fillId="13" borderId="15" xfId="0" applyNumberFormat="1" applyFont="1" applyFill="1" applyBorder="1" applyAlignment="1">
      <x:alignment horizontal="center" vertical="center" wrapText="1"/>
    </x:xf>
    <x:xf numFmtId="0" fontId="22" fillId="13" borderId="16" xfId="0" applyNumberFormat="1" applyFont="1" applyFill="1" applyBorder="1" applyAlignment="1">
      <x:alignment vertical="center"/>
    </x:xf>
    <x:xf numFmtId="165" fontId="34" fillId="19" borderId="1" xfId="0" applyNumberFormat="1" applyFont="1" applyFill="1" applyBorder="1" applyAlignment="1">
      <x:alignment horizontal="left" vertical="center" wrapText="1"/>
    </x:xf>
    <x:xf numFmtId="166" fontId="34" fillId="19" borderId="1" xfId="0" applyNumberFormat="1" applyFont="1" applyFill="1" applyBorder="1" applyAlignment="1">
      <x:alignment horizontal="left" vertical="center" wrapText="1"/>
    </x:xf>
    <x:xf numFmtId="0" fontId="34" fillId="19" borderId="1" xfId="0" applyNumberFormat="1" applyFont="1" applyFill="1" applyBorder="1" applyAlignment="1">
      <x:alignment horizontal="left" vertical="center" wrapText="1"/>
    </x:xf>
    <x:xf numFmtId="0" fontId="34" fillId="19" borderId="0" xfId="0" applyNumberFormat="1" applyFont="1" applyFill="1" applyBorder="1" applyAlignment="1">
      <x:alignment horizontal="left" vertical="center" wrapText="1"/>
    </x:xf>
    <x:xf numFmtId="167" fontId="34" fillId="19" borderId="1" xfId="0" applyNumberFormat="1" applyFont="1" applyFill="1" applyBorder="1" applyAlignment="1">
      <x:alignment horizontal="left" vertical="center" wrapText="1"/>
    </x:xf>
    <x:xf numFmtId="168" fontId="34" fillId="19" borderId="1" xfId="0" applyNumberFormat="1" applyFont="1" applyFill="1" applyBorder="1" applyAlignment="1">
      <x:alignment horizontal="left" vertical="center" wrapText="1"/>
    </x:xf>
    <x:xf numFmtId="170" fontId="34" fillId="19" borderId="1" xfId="0" applyNumberFormat="1" applyFont="1" applyFill="1" applyBorder="1" applyAlignment="1">
      <x:alignment horizontal="left" vertical="center" wrapText="1"/>
    </x:xf>
    <x:xf numFmtId="201" fontId="25" fillId="6" borderId="0" xfId="0" applyNumberFormat="1" applyFont="1" applyFill="1" applyBorder="1" applyAlignment="1">
      <x:alignment vertical="top" wrapText="1"/>
    </x:xf>
    <x:xf numFmtId="0" fontId="25" fillId="20" borderId="0" xfId="0" applyNumberFormat="1" applyFont="1" applyFill="1" applyBorder="1" applyAlignment="1">
      <x:alignment vertical="top" wrapText="1"/>
    </x:xf>
    <x:xf numFmtId="201" fontId="25" fillId="20" borderId="0" xfId="0" applyNumberFormat="1" applyFont="1" applyFill="1" applyBorder="1" applyAlignment="1">
      <x:alignment vertical="top" wrapText="1"/>
    </x:xf>
    <x:xf numFmtId="202" fontId="25" fillId="20" borderId="0" xfId="0" applyNumberFormat="1" applyFont="1" applyFill="1" applyBorder="1" applyAlignment="1">
      <x:alignment vertical="top" wrapText="1"/>
    </x:xf>
    <x:xf numFmtId="0" fontId="28" fillId="20" borderId="0" xfId="0" applyNumberFormat="1" applyFont="1" applyFill="1" applyBorder="1" applyAlignment="1">
      <x:alignment vertical="top" wrapText="1"/>
    </x:xf>
    <x:xf numFmtId="0" fontId="25" fillId="21" borderId="0" xfId="0" applyNumberFormat="1" applyFont="1" applyFill="1" applyBorder="1" applyAlignment="1">
      <x:alignment vertical="top" wrapText="1"/>
    </x:xf>
    <x:xf numFmtId="0" fontId="25" fillId="22" borderId="0" xfId="0" applyNumberFormat="1" applyFont="1" applyFill="1" applyBorder="1" applyAlignment="1">
      <x:alignment vertical="top" wrapText="1"/>
    </x:xf>
    <x:xf numFmtId="201" fontId="25" fillId="22" borderId="0" xfId="0" applyNumberFormat="1" applyFont="1" applyFill="1" applyBorder="1" applyAlignment="1">
      <x:alignment vertical="top" wrapText="1"/>
    </x:xf>
    <x:xf numFmtId="202" fontId="25" fillId="22" borderId="0" xfId="0" applyNumberFormat="1" applyFont="1" applyFill="1" applyBorder="1" applyAlignment="1">
      <x:alignment vertical="top" wrapText="1"/>
    </x:xf>
    <x:xf numFmtId="0" fontId="28" fillId="22" borderId="0" xfId="0" applyNumberFormat="1" applyFont="1" applyFill="1" applyBorder="1" applyAlignment="1">
      <x:alignment vertical="top" wrapText="1"/>
    </x:xf>
    <x:xf numFmtId="0" fontId="25" fillId="23" borderId="0" xfId="0" applyNumberFormat="1" applyFont="1" applyFill="1" applyBorder="1" applyAlignment="1">
      <x:alignment vertical="top" wrapText="1"/>
    </x:xf>
    <x:xf numFmtId="0" fontId="25" fillId="24" borderId="0" xfId="0" applyNumberFormat="1" applyFont="1" applyFill="1" applyBorder="1" applyAlignment="1">
      <x:alignment vertical="top" wrapText="1"/>
    </x:xf>
    <x:xf numFmtId="0" fontId="25" fillId="25" borderId="0" xfId="0" applyNumberFormat="1" applyFont="1" applyFill="1" applyBorder="1" applyAlignment="1">
      <x:alignment vertical="top" wrapText="1"/>
    </x:xf>
    <x:xf numFmtId="0" fontId="25" fillId="26" borderId="0" xfId="0" applyNumberFormat="1" applyFont="1" applyFill="1" applyBorder="1" applyAlignment="1">
      <x:alignment vertical="top" wrapText="1"/>
    </x:xf>
    <x:xf numFmtId="0" fontId="25" fillId="27" borderId="0" xfId="0" applyNumberFormat="1" applyFont="1" applyFill="1" applyBorder="1" applyAlignment="1">
      <x:alignment vertical="top" wrapText="1"/>
    </x:xf>
    <x:xf numFmtId="202" fontId="20" fillId="20" borderId="0" xfId="0" applyNumberFormat="1" applyFont="1" applyFill="1" applyBorder="1" applyAlignment="1">
      <x:alignment vertical="center" wrapText="1"/>
    </x:xf>
    <x:xf numFmtId="0" fontId="27" fillId="28" borderId="0" xfId="0" applyNumberFormat="1" applyFont="1" applyFill="1" applyBorder="1" applyAlignment="1">
      <x:alignment vertical="center" wrapText="1"/>
    </x:xf>
    <x:xf numFmtId="0" fontId="27" fillId="16" borderId="0" xfId="0" applyNumberFormat="1" applyFont="1" applyFill="1" applyBorder="1" applyAlignment="1">
      <x:alignment vertical="center" wrapText="1"/>
    </x:xf>
    <x:xf numFmtId="202" fontId="27" fillId="6" borderId="0" xfId="0" applyNumberFormat="1" applyFont="1" applyFill="1" applyBorder="1" applyAlignment="1">
      <x:alignment vertical="center" wrapText="1"/>
    </x:xf>
    <x:xf numFmtId="0" fontId="25" fillId="0" borderId="0" xfId="0" applyNumberFormat="1" applyFont="1" applyFill="1" applyBorder="1"/>
    <x:xf numFmtId="0" fontId="25" fillId="6" borderId="0" xfId="0" applyNumberFormat="1" applyFont="1" applyFill="1" applyBorder="1" applyAlignment="1">
      <x:alignment vertical="top" wrapText="1"/>
    </x:xf>
    <x:xf numFmtId="203" fontId="25" fillId="6" borderId="0" xfId="0" applyNumberFormat="1" applyFont="1" applyFill="1" applyBorder="1" applyAlignment="1">
      <x:alignment vertical="top" wrapText="1"/>
    </x:xf>
    <x:xf numFmtId="202" fontId="25" fillId="6" borderId="0" xfId="0" applyNumberFormat="1" applyFont="1" applyFill="1" applyBorder="1" applyAlignment="1">
      <x:alignment vertical="top" wrapText="1"/>
    </x:xf>
    <x:xf numFmtId="0" fontId="25" fillId="0" borderId="0" xfId="0" applyNumberFormat="1" applyFont="1" applyFill="1" applyBorder="1" applyAlignment="1">
      <x:alignment wrapText="1"/>
    </x:xf>
    <x:xf numFmtId="0" fontId="27" fillId="16" borderId="0" xfId="0" applyNumberFormat="1" applyFont="1" applyFill="1" applyBorder="1" applyAlignment="1">
      <x:alignment vertical="top" wrapText="1"/>
    </x:xf>
    <x:xf numFmtId="202" fontId="27" fillId="6"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7" fillId="29" borderId="0" xfId="0" applyNumberFormat="1" applyFont="1" applyFill="1" applyBorder="1" applyAlignment="1">
      <x:alignment vertical="top" wrapText="1"/>
    </x:xf>
    <x:xf numFmtId="202" fontId="27" fillId="29" borderId="0" xfId="0" applyNumberFormat="1" applyFont="1" applyFill="1" applyBorder="1" applyAlignment="1">
      <x:alignment vertical="top" wrapText="1"/>
    </x:xf>
    <x:xf numFmtId="0" fontId="25" fillId="29" borderId="0" xfId="0" applyNumberFormat="1" applyFont="1" applyFill="1" applyBorder="1" applyAlignment="1">
      <x:alignment vertical="top" wrapText="1"/>
    </x:xf>
    <x:xf numFmtId="0" fontId="20" fillId="29" borderId="0" xfId="0" applyNumberFormat="1" applyFont="1" applyFill="1" applyBorder="1" applyAlignment="1">
      <x:alignment vertical="top" wrapText="1"/>
    </x:xf>
    <x:xf numFmtId="202" fontId="20" fillId="29" borderId="0" xfId="0" applyNumberFormat="1" applyFont="1" applyFill="1" applyBorder="1" applyAlignment="1">
      <x:alignment vertical="top" wrapText="1"/>
    </x:xf>
    <x:xf numFmtId="0" fontId="20" fillId="29" borderId="0" xfId="0" applyNumberFormat="1" applyFont="1" applyFill="1" applyBorder="1" applyAlignment="1">
      <x:alignment vertical="center" wrapText="1"/>
    </x:xf>
    <x:xf numFmtId="202" fontId="20" fillId="29" borderId="0" xfId="0" applyNumberFormat="1" applyFont="1" applyFill="1" applyBorder="1" applyAlignment="1">
      <x:alignment vertical="center" wrapText="1"/>
    </x:xf>
    <x:xf numFmtId="203" fontId="25" fillId="20" borderId="0" xfId="0" applyNumberFormat="1" applyFont="1" applyFill="1" applyBorder="1" applyAlignment="1">
      <x:alignment vertical="top" wrapText="1"/>
    </x:xf>
    <x:xf numFmtId="203" fontId="25" fillId="22" borderId="0" xfId="0" applyNumberFormat="1" applyFont="1" applyFill="1" applyBorder="1" applyAlignment="1">
      <x:alignment vertical="top" wrapText="1"/>
    </x:xf>
    <x:xf numFmtId="0" fontId="25" fillId="30" borderId="0" xfId="0" applyNumberFormat="1" applyFont="1" applyFill="1" applyBorder="1" applyAlignment="1">
      <x:alignment vertical="top" wrapText="1"/>
    </x:xf>
    <x:xf numFmtId="203" fontId="25" fillId="29" borderId="0" xfId="0" applyNumberFormat="1" applyFont="1" applyFill="1" applyBorder="1" applyAlignment="1">
      <x:alignment vertical="top" wrapText="1"/>
    </x:xf>
    <x:xf numFmtId="203" fontId="20" fillId="29" borderId="0" xfId="0" applyNumberFormat="1" applyFont="1" applyFill="1" applyBorder="1" applyAlignment="1">
      <x:alignment vertical="top" wrapText="1"/>
    </x:xf>
    <x:xf numFmtId="203" fontId="20" fillId="29" borderId="0" xfId="0" applyNumberFormat="1" applyFont="1" applyFill="1" applyBorder="1" applyAlignment="1">
      <x:alignment vertical="center" wrapText="1"/>
    </x:xf>
    <x:xf numFmtId="0" fontId="25" fillId="28" borderId="0" xfId="0" applyNumberFormat="1" applyFont="1" applyFill="1" applyBorder="1" applyAlignment="1">
      <x:alignment vertical="top" wrapText="1"/>
    </x:xf>
    <x:xf numFmtId="0" fontId="27" fillId="28" borderId="0" xfId="0" applyNumberFormat="1" applyFont="1" applyFill="1" applyBorder="1" applyAlignment="1">
      <x:alignment vertical="top" wrapText="1"/>
    </x:xf>
    <x:xf numFmtId="0" fontId="27" fillId="20" borderId="0" xfId="0" applyNumberFormat="1" applyFont="1" applyFill="1" applyBorder="1" applyAlignment="1">
      <x:alignment vertical="top" wrapText="1"/>
    </x:xf>
    <x:xf numFmtId="0" fontId="27" fillId="20" borderId="0" xfId="0" applyNumberFormat="1" applyFont="1" applyFill="1" applyBorder="1" applyAlignment="1">
      <x:alignment vertical="center" wrapText="1"/>
    </x:xf>
    <x:xf numFmtId="0" fontId="29" fillId="28" borderId="0" xfId="0" applyNumberFormat="1" applyFont="1" applyFill="1" applyBorder="1" applyAlignment="1">
      <x:alignment vertical="center" wrapText="1"/>
    </x:xf>
    <x:xf numFmtId="0" fontId="29" fillId="20" borderId="0" xfId="0" applyNumberFormat="1" applyFont="1" applyFill="1" applyBorder="1" applyAlignment="1">
      <x:alignment vertical="center" wrapText="1"/>
    </x:xf>
    <x:xf numFmtId="0" fontId="27" fillId="29" borderId="0" xfId="0" applyNumberFormat="1" applyFont="1" applyFill="1" applyBorder="1" applyAlignment="1">
      <x:alignment vertical="center" wrapText="1"/>
    </x:xf>
    <x:xf numFmtId="0" fontId="30" fillId="20" borderId="0" xfId="0" applyNumberFormat="1" applyFont="1" applyFill="1" applyBorder="1" applyAlignment="1">
      <x:alignment vertical="center" wrapText="1"/>
    </x:xf>
    <x:xf numFmtId="0" fontId="30" fillId="20" borderId="0" xfId="0" applyNumberFormat="1" applyFont="1" applyFill="1" applyBorder="1" applyAlignment="1">
      <x:alignment vertical="top" wrapText="1"/>
    </x:xf>
    <x:xf numFmtId="0" fontId="0" fillId="20" borderId="0" xfId="0" applyNumberFormat="1" applyFont="1" applyFill="1" applyBorder="1"/>
    <x:xf numFmtId="0" fontId="25" fillId="20" borderId="0" xfId="0" applyNumberFormat="1" applyFont="1" applyFill="1" applyBorder="1"/>
    <x:xf numFmtId="0" fontId="25" fillId="20" borderId="0" xfId="0" applyNumberFormat="1" applyFont="1" applyFill="1" applyBorder="1" applyAlignment="1">
      <x:alignment wrapText="1"/>
    </x:xf>
    <x:xf numFmtId="0" fontId="25" fillId="31" borderId="0" xfId="0" applyNumberFormat="1" applyFont="1" applyFill="1" applyBorder="1" applyAlignment="1">
      <x:alignment vertical="top" wrapText="1"/>
    </x:xf>
    <x:xf numFmtId="0" fontId="26" fillId="31" borderId="0" xfId="0" applyNumberFormat="1" applyFont="1" applyFill="1" applyBorder="1" applyAlignment="1">
      <x:alignment vertical="top" wrapText="1"/>
    </x:xf>
    <x:xf numFmtId="0" fontId="26" fillId="31" borderId="0" xfId="0" applyNumberFormat="1" applyFont="1" applyFill="1" applyBorder="1" applyAlignment="1">
      <x:alignment vertical="center" wrapText="1"/>
    </x:xf>
    <x:xf numFmtId="0" fontId="35" fillId="32" borderId="6" xfId="0" applyNumberFormat="1" applyFont="1" applyFill="1" applyBorder="1" applyAlignment="1">
      <x:alignment horizontal="left" vertical="center" wrapText="1"/>
    </x:xf>
    <x:xf numFmtId="0" fontId="35" fillId="32" borderId="7" xfId="0" applyNumberFormat="1" applyFont="1" applyFill="1" applyBorder="1" applyAlignment="1">
      <x:alignment horizontal="left" vertical="center" wrapText="1"/>
    </x:xf>
    <x:xf numFmtId="0" fontId="35" fillId="32" borderId="8" xfId="0" applyNumberFormat="1" applyFont="1" applyFill="1" applyBorder="1" applyAlignment="1">
      <x:alignment horizontal="left" vertical="center" wrapText="1"/>
    </x:xf>
    <x:xf numFmtId="0" fontId="35" fillId="32" borderId="9" xfId="0" applyNumberFormat="1" applyFont="1" applyFill="1" applyBorder="1" applyAlignment="1">
      <x:alignment horizontal="left" vertical="center" wrapText="1"/>
    </x:xf>
    <x:xf numFmtId="0" fontId="35" fillId="32" borderId="0" xfId="0" applyNumberFormat="1" applyFont="1" applyFill="1" applyBorder="1" applyAlignment="1">
      <x:alignment horizontal="left" vertical="center" wrapText="1"/>
    </x:xf>
    <x:xf numFmtId="0" fontId="35" fillId="32" borderId="10" xfId="0" applyNumberFormat="1" applyFont="1" applyFill="1" applyBorder="1" applyAlignment="1">
      <x:alignment horizontal="left" vertical="center" wrapText="1"/>
    </x:xf>
    <x:xf numFmtId="0" fontId="35" fillId="32" borderId="11" xfId="0" applyNumberFormat="1" applyFont="1" applyFill="1" applyBorder="1" applyAlignment="1">
      <x:alignment horizontal="left" vertical="center" wrapText="1"/>
    </x:xf>
    <x:xf numFmtId="0" fontId="35" fillId="32" borderId="12" xfId="0" applyNumberFormat="1" applyFont="1" applyFill="1" applyBorder="1" applyAlignment="1">
      <x:alignment horizontal="left" vertical="center" wrapText="1"/>
    </x:xf>
    <x:xf numFmtId="0" fontId="35" fillId="32" borderId="13" xfId="0" applyNumberFormat="1" applyFont="1" applyFill="1" applyBorder="1" applyAlignment="1">
      <x:alignment horizontal="left" vertical="center" wrapText="1"/>
    </x:xf>
    <x:xf numFmtId="0" fontId="36" fillId="29" borderId="9" xfId="0" applyNumberFormat="1" applyFont="1" applyFill="1" applyBorder="1" applyAlignment="1">
      <x:alignment horizontal="left" vertical="center" wrapText="1"/>
    </x:xf>
    <x:xf numFmtId="0" fontId="36" fillId="29" borderId="0" xfId="0" applyNumberFormat="1" applyFont="1" applyFill="1" applyBorder="1" applyAlignment="1">
      <x:alignment horizontal="left" vertical="center" wrapText="1"/>
    </x:xf>
    <x:xf numFmtId="0" fontId="36" fillId="29" borderId="10" xfId="0" applyNumberFormat="1" applyFont="1" applyFill="1" applyBorder="1" applyAlignment="1">
      <x:alignment horizontal="left" vertical="center" wrapText="1"/>
    </x:xf>
    <x:xf numFmtId="0" fontId="36" fillId="29" borderId="11" xfId="0" applyNumberFormat="1" applyFont="1" applyFill="1" applyBorder="1" applyAlignment="1">
      <x:alignment horizontal="left" vertical="center" wrapText="1"/>
    </x:xf>
    <x:xf numFmtId="0" fontId="36" fillId="29" borderId="12" xfId="0" applyNumberFormat="1" applyFont="1" applyFill="1" applyBorder="1" applyAlignment="1">
      <x:alignment horizontal="left" vertical="center" wrapText="1"/>
    </x:xf>
    <x:xf numFmtId="0" fontId="36" fillId="29" borderId="13" xfId="0" applyNumberFormat="1" applyFont="1" applyFill="1" applyBorder="1" applyAlignment="1">
      <x:alignment horizontal="left" vertical="center" wrapText="1"/>
    </x:xf>
    <x:xf numFmtId="0" fontId="25" fillId="33" borderId="0" xfId="0" applyNumberFormat="1" applyFont="1" applyFill="1" applyBorder="1" applyAlignment="1">
      <x:alignment vertical="top" wrapText="1"/>
    </x:xf>
    <x:xf numFmtId="201" fontId="25" fillId="33" borderId="0" xfId="0" applyNumberFormat="1" applyFont="1" applyFill="1" applyBorder="1" applyAlignment="1">
      <x:alignment vertical="top" wrapText="1"/>
    </x:xf>
    <x:xf numFmtId="202" fontId="25" fillId="33" borderId="0" xfId="0" applyNumberFormat="1" applyFont="1" applyFill="1" applyBorder="1" applyAlignment="1">
      <x:alignment vertical="top" wrapText="1"/>
    </x:xf>
    <x:xf numFmtId="0" fontId="28" fillId="33" borderId="0" xfId="0" applyNumberFormat="1" applyFont="1" applyFill="1" applyBorder="1" applyAlignment="1">
      <x:alignment vertical="top" wrapText="1"/>
    </x:xf>
    <x:xf numFmtId="0" fontId="25" fillId="34" borderId="0" xfId="0" applyNumberFormat="1" applyFont="1" applyFill="1" applyBorder="1" applyAlignment="1">
      <x:alignment vertical="top" wrapText="1"/>
    </x:xf>
    <x:xf numFmtId="0" fontId="25" fillId="35" borderId="0" xfId="0" applyNumberFormat="1" applyFont="1" applyFill="1" applyBorder="1" applyAlignment="1">
      <x:alignment vertical="top" wrapText="1"/>
    </x:xf>
    <x:xf numFmtId="201" fontId="25" fillId="35" borderId="0" xfId="0" applyNumberFormat="1" applyFont="1" applyFill="1" applyBorder="1" applyAlignment="1">
      <x:alignment vertical="top" wrapText="1"/>
    </x:xf>
    <x:xf numFmtId="202" fontId="25" fillId="35" borderId="0" xfId="0" applyNumberFormat="1" applyFont="1" applyFill="1" applyBorder="1" applyAlignment="1">
      <x:alignment vertical="top" wrapText="1"/>
    </x:xf>
    <x:xf numFmtId="0" fontId="28" fillId="35" borderId="0" xfId="0" applyNumberFormat="1" applyFont="1" applyFill="1" applyBorder="1" applyAlignment="1">
      <x:alignment vertical="top" wrapText="1"/>
    </x:xf>
    <x:xf numFmtId="0" fontId="25" fillId="36" borderId="0" xfId="0" applyNumberFormat="1" applyFont="1" applyFill="1" applyBorder="1" applyAlignment="1">
      <x:alignment vertical="top" wrapText="1"/>
    </x:xf>
    <x:xf numFmtId="0" fontId="25" fillId="37" borderId="0" xfId="0" applyNumberFormat="1" applyFont="1" applyFill="1" applyBorder="1" applyAlignment="1">
      <x:alignment vertical="top" wrapText="1"/>
    </x:xf>
    <x:xf numFmtId="0" fontId="25" fillId="38" borderId="0" xfId="0" applyNumberFormat="1" applyFont="1" applyFill="1" applyBorder="1" applyAlignment="1">
      <x:alignment vertical="top" wrapText="1"/>
    </x:xf>
    <x:xf numFmtId="0" fontId="25" fillId="39" borderId="0" xfId="0" applyNumberFormat="1" applyFont="1" applyFill="1" applyBorder="1" applyAlignment="1">
      <x:alignment vertical="top" wrapText="1"/>
    </x:xf>
    <x:xf numFmtId="0" fontId="25" fillId="40" borderId="0" xfId="0" applyNumberFormat="1" applyFont="1" applyFill="1" applyBorder="1" applyAlignment="1">
      <x:alignment vertical="top" wrapText="1"/>
    </x:xf>
    <x:xf numFmtId="202" fontId="20" fillId="33" borderId="0" xfId="0" applyNumberFormat="1" applyFont="1" applyFill="1" applyBorder="1" applyAlignment="1">
      <x:alignment vertical="center" wrapText="1"/>
    </x:xf>
    <x:xf numFmtId="0" fontId="27" fillId="41" borderId="0" xfId="0" applyNumberFormat="1" applyFont="1" applyFill="1" applyBorder="1" applyAlignment="1">
      <x:alignment vertical="center" wrapText="1"/>
    </x:xf>
    <x:xf numFmtId="0" fontId="27" fillId="42" borderId="0" xfId="0" applyNumberFormat="1" applyFont="1" applyFill="1" applyBorder="1" applyAlignment="1">
      <x:alignment vertical="top" wrapText="1"/>
    </x:xf>
    <x:xf numFmtId="202" fontId="27" fillId="42" borderId="0" xfId="0" applyNumberFormat="1" applyFont="1" applyFill="1" applyBorder="1" applyAlignment="1">
      <x:alignment vertical="top" wrapText="1"/>
    </x:xf>
    <x:xf numFmtId="0" fontId="20" fillId="42" borderId="0" xfId="0" applyNumberFormat="1" applyFont="1" applyFill="1" applyBorder="1" applyAlignment="1">
      <x:alignment vertical="top" wrapText="1"/>
    </x:xf>
    <x:xf numFmtId="202" fontId="20" fillId="42" borderId="0" xfId="0" applyNumberFormat="1" applyFont="1" applyFill="1" applyBorder="1" applyAlignment="1">
      <x:alignment vertical="top" wrapText="1"/>
    </x:xf>
    <x:xf numFmtId="0" fontId="20" fillId="42" borderId="0" xfId="0" applyNumberFormat="1" applyFont="1" applyFill="1" applyBorder="1" applyAlignment="1">
      <x:alignment vertical="center" wrapText="1"/>
    </x:xf>
    <x:xf numFmtId="202" fontId="20" fillId="42" borderId="0" xfId="0" applyNumberFormat="1" applyFont="1" applyFill="1" applyBorder="1" applyAlignment="1">
      <x:alignment vertical="center" wrapText="1"/>
    </x:xf>
    <x:xf numFmtId="203" fontId="25" fillId="33" borderId="0" xfId="0" applyNumberFormat="1" applyFont="1" applyFill="1" applyBorder="1" applyAlignment="1">
      <x:alignment vertical="top" wrapText="1"/>
    </x:xf>
    <x:xf numFmtId="203" fontId="25" fillId="35" borderId="0" xfId="0" applyNumberFormat="1" applyFont="1" applyFill="1" applyBorder="1" applyAlignment="1">
      <x:alignment vertical="top" wrapText="1"/>
    </x:xf>
    <x:xf numFmtId="0" fontId="25" fillId="43" borderId="0" xfId="0" applyNumberFormat="1" applyFont="1" applyFill="1" applyBorder="1" applyAlignment="1">
      <x:alignment vertical="top" wrapText="1"/>
    </x:xf>
    <x:xf numFmtId="203" fontId="20" fillId="42" borderId="0" xfId="0" applyNumberFormat="1" applyFont="1" applyFill="1" applyBorder="1" applyAlignment="1">
      <x:alignment vertical="center" wrapText="1"/>
    </x:xf>
    <x:xf numFmtId="0" fontId="27" fillId="33" borderId="0" xfId="0" applyNumberFormat="1" applyFont="1" applyFill="1" applyBorder="1" applyAlignment="1">
      <x:alignment vertical="center" wrapText="1"/>
    </x:xf>
    <x:xf numFmtId="0" fontId="30" fillId="33" borderId="0" xfId="0" applyNumberFormat="1" applyFont="1" applyFill="1" applyBorder="1" applyAlignment="1">
      <x:alignment vertical="center" wrapText="1"/>
    </x:xf>
    <x:xf numFmtId="0" fontId="26" fillId="33" borderId="0" xfId="0" applyNumberFormat="1" applyFont="1" applyFill="1" applyBorder="1" applyAlignment="1">
      <x:alignment vertical="center" wrapText="1"/>
    </x:xf>
    <x:xf numFmtId="0" fontId="20" fillId="33" borderId="0" xfId="0" applyNumberFormat="1" applyFont="1" applyFill="1" applyBorder="1" applyAlignment="1">
      <x:alignment vertical="center" wrapText="1"/>
    </x:xf>
    <x:xf numFmtId="0" fontId="27" fillId="33" borderId="0" xfId="0" applyNumberFormat="1" applyFont="1" applyFill="1" applyBorder="1" applyAlignment="1">
      <x:alignment vertical="top" wrapText="1"/>
    </x:xf>
    <x:xf numFmtId="0" fontId="27" fillId="44" borderId="0" xfId="0" applyNumberFormat="1" applyFont="1" applyFill="1" applyBorder="1" applyAlignment="1">
      <x:alignment vertical="top" wrapText="1"/>
    </x:xf>
    <x:xf numFmtId="0" fontId="26" fillId="44" borderId="0" xfId="0" applyNumberFormat="1" applyFont="1" applyFill="1" applyBorder="1" applyAlignment="1">
      <x:alignment vertical="top" wrapText="1"/>
    </x:xf>
    <x:xf numFmtId="0" fontId="26" fillId="44" borderId="0" xfId="0" applyNumberFormat="1" applyFont="1" applyFill="1" applyBorder="1" applyAlignment="1">
      <x:alignment vertical="center" wrapText="1"/>
    </x:xf>
    <x:xf numFmtId="0" fontId="27" fillId="41" borderId="0" xfId="0" applyNumberFormat="1" applyFont="1" applyFill="1" applyBorder="1" applyAlignment="1">
      <x:alignment vertical="top" wrapText="1"/>
    </x:xf>
    <x:xf numFmtId="0" fontId="20" fillId="45" borderId="1" xfId="0" applyNumberFormat="1" applyFont="1" applyFill="1" applyBorder="1" applyAlignment="1">
      <x:alignment horizontal="left" vertical="center" wrapText="1"/>
    </x:xf>
    <x:xf numFmtId="165" fontId="34" fillId="45" borderId="1" xfId="0" applyNumberFormat="1" applyFont="1" applyFill="1" applyBorder="1" applyAlignment="1">
      <x:alignment horizontal="left" vertical="center" wrapText="1"/>
    </x:xf>
    <x:xf numFmtId="166" fontId="34" fillId="45" borderId="1" xfId="0" applyNumberFormat="1" applyFont="1" applyFill="1" applyBorder="1" applyAlignment="1">
      <x:alignment horizontal="left" vertical="center" wrapText="1"/>
    </x:xf>
    <x:xf numFmtId="0" fontId="34" fillId="45" borderId="1" xfId="0" applyNumberFormat="1" applyFont="1" applyFill="1" applyBorder="1" applyAlignment="1">
      <x:alignment horizontal="left" vertical="center" wrapText="1"/>
    </x:xf>
    <x:xf numFmtId="0" fontId="34" fillId="45" borderId="0" xfId="0" applyNumberFormat="1" applyFont="1" applyFill="1" applyBorder="1" applyAlignment="1">
      <x:alignment horizontal="left" vertical="center" wrapText="1"/>
    </x:xf>
    <x:xf numFmtId="167" fontId="34" fillId="45" borderId="1" xfId="0" applyNumberFormat="1" applyFont="1" applyFill="1" applyBorder="1" applyAlignment="1">
      <x:alignment horizontal="left" vertical="center" wrapText="1"/>
    </x:xf>
    <x:xf numFmtId="168" fontId="34" fillId="45" borderId="1" xfId="0" applyNumberFormat="1" applyFont="1" applyFill="1" applyBorder="1" applyAlignment="1">
      <x:alignment horizontal="left" vertical="center" wrapText="1"/>
    </x:xf>
    <x:xf numFmtId="170" fontId="34" fillId="45" borderId="1" xfId="0" applyNumberFormat="1" applyFont="1" applyFill="1" applyBorder="1" applyAlignment="1">
      <x:alignment horizontal="left" vertical="center" wrapText="1"/>
    </x:xf>
    <x:xf numFmtId="0" fontId="35" fillId="45" borderId="6" xfId="0" applyNumberFormat="1" applyFont="1" applyFill="1" applyBorder="1" applyAlignment="1">
      <x:alignment horizontal="left" vertical="center" wrapText="1"/>
    </x:xf>
    <x:xf numFmtId="0" fontId="35" fillId="45" borderId="7" xfId="0" applyNumberFormat="1" applyFont="1" applyFill="1" applyBorder="1" applyAlignment="1">
      <x:alignment horizontal="left" vertical="center" wrapText="1"/>
    </x:xf>
    <x:xf numFmtId="0" fontId="35" fillId="45" borderId="8" xfId="0" applyNumberFormat="1" applyFont="1" applyFill="1" applyBorder="1" applyAlignment="1">
      <x:alignment horizontal="left" vertical="center" wrapText="1"/>
    </x:xf>
    <x:xf numFmtId="0" fontId="35" fillId="45" borderId="9" xfId="0" applyNumberFormat="1" applyFont="1" applyFill="1" applyBorder="1" applyAlignment="1">
      <x:alignment horizontal="left" vertical="center" wrapText="1"/>
    </x:xf>
    <x:xf numFmtId="0" fontId="35" fillId="45" borderId="0" xfId="0" applyNumberFormat="1" applyFont="1" applyFill="1" applyBorder="1" applyAlignment="1">
      <x:alignment horizontal="left" vertical="center" wrapText="1"/>
    </x:xf>
    <x:xf numFmtId="0" fontId="35" fillId="45" borderId="10" xfId="0" applyNumberFormat="1" applyFont="1" applyFill="1" applyBorder="1" applyAlignment="1">
      <x:alignment horizontal="left" vertical="center" wrapText="1"/>
    </x:xf>
    <x:xf numFmtId="0" fontId="35" fillId="45" borderId="11" xfId="0" applyNumberFormat="1" applyFont="1" applyFill="1" applyBorder="1" applyAlignment="1">
      <x:alignment horizontal="left" vertical="center" wrapText="1"/>
    </x:xf>
    <x:xf numFmtId="0" fontId="35" fillId="45" borderId="12" xfId="0" applyNumberFormat="1" applyFont="1" applyFill="1" applyBorder="1" applyAlignment="1">
      <x:alignment horizontal="left" vertical="center" wrapText="1"/>
    </x:xf>
    <x:xf numFmtId="0" fontId="35" fillId="45" borderId="13" xfId="0" applyNumberFormat="1" applyFont="1" applyFill="1" applyBorder="1" applyAlignment="1">
      <x:alignment horizontal="left" vertical="center" wrapText="1"/>
    </x:xf>
    <x:xf numFmtId="0" fontId="36" fillId="42" borderId="9" xfId="0" applyNumberFormat="1" applyFont="1" applyFill="1" applyBorder="1" applyAlignment="1">
      <x:alignment horizontal="left" vertical="center" wrapText="1"/>
    </x:xf>
    <x:xf numFmtId="0" fontId="36" fillId="42" borderId="0" xfId="0" applyNumberFormat="1" applyFont="1" applyFill="1" applyBorder="1" applyAlignment="1">
      <x:alignment horizontal="left" vertical="center" wrapText="1"/>
    </x:xf>
    <x:xf numFmtId="0" fontId="36" fillId="42" borderId="10" xfId="0" applyNumberFormat="1" applyFont="1" applyFill="1" applyBorder="1" applyAlignment="1">
      <x:alignment horizontal="left" vertical="center" wrapText="1"/>
    </x:xf>
    <x:xf numFmtId="0" fontId="36" fillId="42" borderId="11" xfId="0" applyNumberFormat="1" applyFont="1" applyFill="1" applyBorder="1" applyAlignment="1">
      <x:alignment horizontal="left" vertical="center" wrapText="1"/>
    </x:xf>
    <x:xf numFmtId="0" fontId="36" fillId="42" borderId="12" xfId="0" applyNumberFormat="1" applyFont="1" applyFill="1" applyBorder="1" applyAlignment="1">
      <x:alignment horizontal="left" vertical="center" wrapText="1"/>
    </x:xf>
    <x:xf numFmtId="0" fontId="36" fillId="42" borderId="13" xfId="0" applyNumberFormat="1" applyFont="1" applyFill="1" applyBorder="1" applyAlignment="1">
      <x:alignment horizontal="left" vertical="center" wrapText="1"/>
    </x:xf>
    <x:xf numFmtId="0" fontId="25" fillId="46" borderId="0" xfId="0" applyNumberFormat="1" applyFont="1" applyFill="1" applyBorder="1" applyAlignment="1">
      <x:alignment vertical="top" wrapText="1"/>
    </x:xf>
    <x:xf numFmtId="201" fontId="25" fillId="46" borderId="0" xfId="0" applyNumberFormat="1" applyFont="1" applyFill="1" applyBorder="1" applyAlignment="1">
      <x:alignment vertical="top" wrapText="1"/>
    </x:xf>
    <x:xf numFmtId="202" fontId="25" fillId="46" borderId="0" xfId="0" applyNumberFormat="1" applyFont="1" applyFill="1" applyBorder="1" applyAlignment="1">
      <x:alignment vertical="top" wrapText="1"/>
    </x:xf>
    <x:xf numFmtId="0" fontId="28" fillId="46" borderId="0" xfId="0" applyNumberFormat="1" applyFont="1" applyFill="1" applyBorder="1" applyAlignment="1">
      <x:alignment vertical="top" wrapText="1"/>
    </x:xf>
    <x:xf numFmtId="0" fontId="25" fillId="47" borderId="0" xfId="0" applyNumberFormat="1" applyFont="1" applyFill="1" applyBorder="1" applyAlignment="1">
      <x:alignment vertical="top" wrapText="1"/>
    </x:xf>
    <x:xf numFmtId="0" fontId="25" fillId="48" borderId="0" xfId="0" applyNumberFormat="1" applyFont="1" applyFill="1" applyBorder="1" applyAlignment="1">
      <x:alignment vertical="top" wrapText="1"/>
    </x:xf>
    <x:xf numFmtId="201" fontId="25" fillId="48" borderId="0" xfId="0" applyNumberFormat="1" applyFont="1" applyFill="1" applyBorder="1" applyAlignment="1">
      <x:alignment vertical="top" wrapText="1"/>
    </x:xf>
    <x:xf numFmtId="202" fontId="25" fillId="48" borderId="0" xfId="0" applyNumberFormat="1" applyFont="1" applyFill="1" applyBorder="1" applyAlignment="1">
      <x:alignment vertical="top" wrapText="1"/>
    </x:xf>
    <x:xf numFmtId="0" fontId="28" fillId="48" borderId="0" xfId="0" applyNumberFormat="1" applyFont="1" applyFill="1" applyBorder="1" applyAlignment="1">
      <x:alignment vertical="top" wrapText="1"/>
    </x:xf>
    <x:xf numFmtId="0" fontId="25" fillId="49" borderId="0" xfId="0" applyNumberFormat="1" applyFont="1" applyFill="1" applyBorder="1" applyAlignment="1">
      <x:alignment vertical="top" wrapText="1"/>
    </x:xf>
    <x:xf numFmtId="0" fontId="25" fillId="50" borderId="0" xfId="0" applyNumberFormat="1" applyFont="1" applyFill="1" applyBorder="1" applyAlignment="1">
      <x:alignment vertical="top" wrapText="1"/>
    </x:xf>
    <x:xf numFmtId="0" fontId="25" fillId="51" borderId="0" xfId="0" applyNumberFormat="1" applyFont="1" applyFill="1" applyBorder="1" applyAlignment="1">
      <x:alignment vertical="top" wrapText="1"/>
    </x:xf>
    <x:xf numFmtId="0" fontId="25" fillId="52" borderId="0" xfId="0" applyNumberFormat="1" applyFont="1" applyFill="1" applyBorder="1" applyAlignment="1">
      <x:alignment vertical="top" wrapText="1"/>
    </x:xf>
    <x:xf numFmtId="0" fontId="25" fillId="53" borderId="0" xfId="0" applyNumberFormat="1" applyFont="1" applyFill="1" applyBorder="1" applyAlignment="1">
      <x:alignment vertical="top" wrapText="1"/>
    </x:xf>
    <x:xf numFmtId="202" fontId="20" fillId="46" borderId="0" xfId="0" applyNumberFormat="1" applyFont="1" applyFill="1" applyBorder="1" applyAlignment="1">
      <x:alignment vertical="center" wrapText="1"/>
    </x:xf>
    <x:xf numFmtId="0" fontId="27" fillId="54" borderId="0" xfId="0" applyNumberFormat="1" applyFont="1" applyFill="1" applyBorder="1" applyAlignment="1">
      <x:alignment vertical="center" wrapText="1"/>
    </x:xf>
    <x:xf numFmtId="0" fontId="27" fillId="55" borderId="0" xfId="0" applyNumberFormat="1" applyFont="1" applyFill="1" applyBorder="1" applyAlignment="1">
      <x:alignment vertical="top" wrapText="1"/>
    </x:xf>
    <x:xf numFmtId="202" fontId="27" fillId="55" borderId="0" xfId="0" applyNumberFormat="1" applyFont="1" applyFill="1" applyBorder="1" applyAlignment="1">
      <x:alignment vertical="top" wrapText="1"/>
    </x:xf>
    <x:xf numFmtId="0" fontId="20" fillId="55" borderId="0" xfId="0" applyNumberFormat="1" applyFont="1" applyFill="1" applyBorder="1" applyAlignment="1">
      <x:alignment vertical="top" wrapText="1"/>
    </x:xf>
    <x:xf numFmtId="202" fontId="20" fillId="55" borderId="0" xfId="0" applyNumberFormat="1" applyFont="1" applyFill="1" applyBorder="1" applyAlignment="1">
      <x:alignment vertical="top" wrapText="1"/>
    </x:xf>
    <x:xf numFmtId="0" fontId="20" fillId="55" borderId="0" xfId="0" applyNumberFormat="1" applyFont="1" applyFill="1" applyBorder="1" applyAlignment="1">
      <x:alignment vertical="center" wrapText="1"/>
    </x:xf>
    <x:xf numFmtId="202" fontId="20" fillId="55" borderId="0" xfId="0" applyNumberFormat="1" applyFont="1" applyFill="1" applyBorder="1" applyAlignment="1">
      <x:alignment vertical="center" wrapText="1"/>
    </x:xf>
    <x:xf numFmtId="203" fontId="25" fillId="46" borderId="0" xfId="0" applyNumberFormat="1" applyFont="1" applyFill="1" applyBorder="1" applyAlignment="1">
      <x:alignment vertical="top" wrapText="1"/>
    </x:xf>
    <x:xf numFmtId="203" fontId="25" fillId="48" borderId="0" xfId="0" applyNumberFormat="1" applyFont="1" applyFill="1" applyBorder="1" applyAlignment="1">
      <x:alignment vertical="top" wrapText="1"/>
    </x:xf>
    <x:xf numFmtId="0" fontId="25" fillId="56" borderId="0" xfId="0" applyNumberFormat="1" applyFont="1" applyFill="1" applyBorder="1" applyAlignment="1">
      <x:alignment vertical="top" wrapText="1"/>
    </x:xf>
    <x:xf numFmtId="0" fontId="27" fillId="55" borderId="0" xfId="0" applyNumberFormat="1" applyFont="1" applyFill="1" applyBorder="1" applyAlignment="1">
      <x:alignment vertical="center" wrapText="1"/>
    </x:xf>
    <x:xf numFmtId="203" fontId="25" fillId="55" borderId="0" xfId="0" applyNumberFormat="1" applyFont="1" applyFill="1" applyBorder="1" applyAlignment="1">
      <x:alignment vertical="top" wrapText="1"/>
    </x:xf>
    <x:xf numFmtId="203" fontId="20" fillId="55" borderId="0" xfId="0" applyNumberFormat="1" applyFont="1" applyFill="1" applyBorder="1" applyAlignment="1">
      <x:alignment vertical="top" wrapText="1"/>
    </x:xf>
    <x:xf numFmtId="203" fontId="20" fillId="55" borderId="0" xfId="0" applyNumberFormat="1" applyFont="1" applyFill="1" applyBorder="1" applyAlignment="1">
      <x:alignment vertical="center" wrapText="1"/>
    </x:xf>
    <x:xf numFmtId="0" fontId="27" fillId="46" borderId="0" xfId="0" applyNumberFormat="1" applyFont="1" applyFill="1" applyBorder="1" applyAlignment="1">
      <x:alignment vertical="center" wrapText="1"/>
    </x:xf>
    <x:xf numFmtId="0" fontId="30" fillId="46" borderId="0" xfId="0" applyNumberFormat="1" applyFont="1" applyFill="1" applyBorder="1" applyAlignment="1">
      <x:alignment vertical="center" wrapText="1"/>
    </x:xf>
    <x:xf numFmtId="0" fontId="26" fillId="46" borderId="0" xfId="0" applyNumberFormat="1" applyFont="1" applyFill="1" applyBorder="1" applyAlignment="1">
      <x:alignment vertical="center" wrapText="1"/>
    </x:xf>
    <x:xf numFmtId="0" fontId="20" fillId="46" borderId="0" xfId="0" applyNumberFormat="1" applyFont="1" applyFill="1" applyBorder="1" applyAlignment="1">
      <x:alignment vertical="center" wrapText="1"/>
    </x:xf>
    <x:xf numFmtId="0" fontId="27" fillId="46" borderId="0" xfId="0" applyNumberFormat="1" applyFont="1" applyFill="1" applyBorder="1" applyAlignment="1">
      <x:alignment vertical="top" wrapText="1"/>
    </x:xf>
    <x:xf numFmtId="0" fontId="27" fillId="57" borderId="0" xfId="0" applyNumberFormat="1" applyFont="1" applyFill="1" applyBorder="1" applyAlignment="1">
      <x:alignment vertical="top" wrapText="1"/>
    </x:xf>
    <x:xf numFmtId="0" fontId="26" fillId="57" borderId="0" xfId="0" applyNumberFormat="1" applyFont="1" applyFill="1" applyBorder="1" applyAlignment="1">
      <x:alignment vertical="top" wrapText="1"/>
    </x:xf>
    <x:xf numFmtId="0" fontId="26" fillId="57" borderId="0" xfId="0" applyNumberFormat="1" applyFont="1" applyFill="1" applyBorder="1" applyAlignment="1">
      <x:alignment vertical="center" wrapText="1"/>
    </x:xf>
    <x:xf numFmtId="0" fontId="27" fillId="54" borderId="0" xfId="0" applyNumberFormat="1" applyFont="1" applyFill="1" applyBorder="1" applyAlignment="1">
      <x:alignment vertical="top" wrapText="1"/>
    </x:xf>
    <x:xf numFmtId="0" fontId="20" fillId="58" borderId="1" xfId="0" applyNumberFormat="1" applyFont="1" applyFill="1" applyBorder="1" applyAlignment="1">
      <x:alignment horizontal="left" vertical="center" wrapText="1"/>
    </x:xf>
    <x:xf numFmtId="165" fontId="34" fillId="58" borderId="1" xfId="0" applyNumberFormat="1" applyFont="1" applyFill="1" applyBorder="1" applyAlignment="1">
      <x:alignment horizontal="left" vertical="center" wrapText="1"/>
    </x:xf>
    <x:xf numFmtId="166" fontId="34" fillId="58" borderId="1" xfId="0" applyNumberFormat="1" applyFont="1" applyFill="1" applyBorder="1" applyAlignment="1">
      <x:alignment horizontal="left" vertical="center" wrapText="1"/>
    </x:xf>
    <x:xf numFmtId="0" fontId="34" fillId="58" borderId="1" xfId="0" applyNumberFormat="1" applyFont="1" applyFill="1" applyBorder="1" applyAlignment="1">
      <x:alignment horizontal="left" vertical="center" wrapText="1"/>
    </x:xf>
    <x:xf numFmtId="0" fontId="34" fillId="58" borderId="0" xfId="0" applyNumberFormat="1" applyFont="1" applyFill="1" applyBorder="1" applyAlignment="1">
      <x:alignment horizontal="left" vertical="center" wrapText="1"/>
    </x:xf>
    <x:xf numFmtId="167" fontId="34" fillId="58" borderId="1" xfId="0" applyNumberFormat="1" applyFont="1" applyFill="1" applyBorder="1" applyAlignment="1">
      <x:alignment horizontal="left" vertical="center" wrapText="1"/>
    </x:xf>
    <x:xf numFmtId="168" fontId="34" fillId="58" borderId="1" xfId="0" applyNumberFormat="1" applyFont="1" applyFill="1" applyBorder="1" applyAlignment="1">
      <x:alignment horizontal="left" vertical="center" wrapText="1"/>
    </x:xf>
    <x:xf numFmtId="170" fontId="34" fillId="58" borderId="1" xfId="0" applyNumberFormat="1" applyFont="1" applyFill="1" applyBorder="1" applyAlignment="1">
      <x:alignment horizontal="left" vertical="center" wrapText="1"/>
    </x:xf>
    <x:xf numFmtId="0" fontId="35" fillId="58" borderId="6" xfId="0" applyNumberFormat="1" applyFont="1" applyFill="1" applyBorder="1" applyAlignment="1">
      <x:alignment horizontal="left" vertical="center" wrapText="1"/>
    </x:xf>
    <x:xf numFmtId="0" fontId="35" fillId="58" borderId="7" xfId="0" applyNumberFormat="1" applyFont="1" applyFill="1" applyBorder="1" applyAlignment="1">
      <x:alignment horizontal="left" vertical="center" wrapText="1"/>
    </x:xf>
    <x:xf numFmtId="0" fontId="35" fillId="58" borderId="8" xfId="0" applyNumberFormat="1" applyFont="1" applyFill="1" applyBorder="1" applyAlignment="1">
      <x:alignment horizontal="left" vertical="center" wrapText="1"/>
    </x:xf>
    <x:xf numFmtId="0" fontId="35" fillId="58" borderId="9" xfId="0" applyNumberFormat="1" applyFont="1" applyFill="1" applyBorder="1" applyAlignment="1">
      <x:alignment horizontal="left" vertical="center" wrapText="1"/>
    </x:xf>
    <x:xf numFmtId="0" fontId="35" fillId="58" borderId="0" xfId="0" applyNumberFormat="1" applyFont="1" applyFill="1" applyBorder="1" applyAlignment="1">
      <x:alignment horizontal="left" vertical="center" wrapText="1"/>
    </x:xf>
    <x:xf numFmtId="0" fontId="35" fillId="58" borderId="10" xfId="0" applyNumberFormat="1" applyFont="1" applyFill="1" applyBorder="1" applyAlignment="1">
      <x:alignment horizontal="left" vertical="center" wrapText="1"/>
    </x:xf>
    <x:xf numFmtId="0" fontId="35" fillId="58" borderId="11" xfId="0" applyNumberFormat="1" applyFont="1" applyFill="1" applyBorder="1" applyAlignment="1">
      <x:alignment horizontal="left" vertical="center" wrapText="1"/>
    </x:xf>
    <x:xf numFmtId="0" fontId="35" fillId="58" borderId="12" xfId="0" applyNumberFormat="1" applyFont="1" applyFill="1" applyBorder="1" applyAlignment="1">
      <x:alignment horizontal="left" vertical="center" wrapText="1"/>
    </x:xf>
    <x:xf numFmtId="0" fontId="35" fillId="58" borderId="13" xfId="0" applyNumberFormat="1" applyFont="1" applyFill="1" applyBorder="1" applyAlignment="1">
      <x:alignment horizontal="left" vertical="center" wrapText="1"/>
    </x:xf>
    <x:xf numFmtId="0" fontId="36" fillId="55" borderId="9" xfId="0" applyNumberFormat="1" applyFont="1" applyFill="1" applyBorder="1" applyAlignment="1">
      <x:alignment horizontal="left" vertical="center" wrapText="1"/>
    </x:xf>
    <x:xf numFmtId="0" fontId="36" fillId="55" borderId="0" xfId="0" applyNumberFormat="1" applyFont="1" applyFill="1" applyBorder="1" applyAlignment="1">
      <x:alignment horizontal="left" vertical="center" wrapText="1"/>
    </x:xf>
    <x:xf numFmtId="0" fontId="36" fillId="55" borderId="10" xfId="0" applyNumberFormat="1" applyFont="1" applyFill="1" applyBorder="1" applyAlignment="1">
      <x:alignment horizontal="left" vertical="center" wrapText="1"/>
    </x:xf>
    <x:xf numFmtId="0" fontId="36" fillId="55" borderId="11" xfId="0" applyNumberFormat="1" applyFont="1" applyFill="1" applyBorder="1" applyAlignment="1">
      <x:alignment horizontal="left" vertical="center" wrapText="1"/>
    </x:xf>
    <x:xf numFmtId="0" fontId="36" fillId="55" borderId="12" xfId="0" applyNumberFormat="1" applyFont="1" applyFill="1" applyBorder="1" applyAlignment="1">
      <x:alignment horizontal="left" vertical="center" wrapText="1"/>
    </x:xf>
    <x:xf numFmtId="0" fontId="36" fillId="55" borderId="13" xfId="0" applyNumberFormat="1" applyFont="1" applyFill="1" applyBorder="1" applyAlignment="1">
      <x:alignment horizontal="left" vertical="center" wrapText="1"/>
    </x:xf>
    <x:xf numFmtId="0" fontId="25" fillId="59" borderId="0" xfId="0" applyNumberFormat="1" applyFont="1" applyFill="1" applyBorder="1" applyAlignment="1">
      <x:alignment vertical="top" wrapText="1"/>
    </x:xf>
    <x:xf numFmtId="201" fontId="25" fillId="59" borderId="0" xfId="0" applyNumberFormat="1" applyFont="1" applyFill="1" applyBorder="1" applyAlignment="1">
      <x:alignment vertical="top" wrapText="1"/>
    </x:xf>
    <x:xf numFmtId="202" fontId="25" fillId="59" borderId="0" xfId="0" applyNumberFormat="1" applyFont="1" applyFill="1" applyBorder="1" applyAlignment="1">
      <x:alignment vertical="top" wrapText="1"/>
    </x:xf>
    <x:xf numFmtId="0" fontId="28" fillId="59" borderId="0" xfId="0" applyNumberFormat="1" applyFont="1" applyFill="1" applyBorder="1" applyAlignment="1">
      <x:alignment vertical="top" wrapText="1"/>
    </x:xf>
    <x:xf numFmtId="0" fontId="25" fillId="60" borderId="0" xfId="0" applyNumberFormat="1" applyFont="1" applyFill="1" applyBorder="1" applyAlignment="1">
      <x:alignment vertical="top" wrapText="1"/>
    </x:xf>
    <x:xf numFmtId="0" fontId="25" fillId="61" borderId="0" xfId="0" applyNumberFormat="1" applyFont="1" applyFill="1" applyBorder="1" applyAlignment="1">
      <x:alignment vertical="top" wrapText="1"/>
    </x:xf>
    <x:xf numFmtId="201" fontId="25" fillId="61" borderId="0" xfId="0" applyNumberFormat="1" applyFont="1" applyFill="1" applyBorder="1" applyAlignment="1">
      <x:alignment vertical="top" wrapText="1"/>
    </x:xf>
    <x:xf numFmtId="202" fontId="25" fillId="61" borderId="0" xfId="0" applyNumberFormat="1" applyFont="1" applyFill="1" applyBorder="1" applyAlignment="1">
      <x:alignment vertical="top" wrapText="1"/>
    </x:xf>
    <x:xf numFmtId="0" fontId="28" fillId="61" borderId="0" xfId="0" applyNumberFormat="1" applyFont="1" applyFill="1" applyBorder="1" applyAlignment="1">
      <x:alignment vertical="top" wrapText="1"/>
    </x:xf>
    <x:xf numFmtId="0" fontId="25" fillId="62" borderId="0" xfId="0" applyNumberFormat="1" applyFont="1" applyFill="1" applyBorder="1" applyAlignment="1">
      <x:alignment vertical="top" wrapText="1"/>
    </x:xf>
    <x:xf numFmtId="0" fontId="25" fillId="63" borderId="0" xfId="0" applyNumberFormat="1" applyFont="1" applyFill="1" applyBorder="1" applyAlignment="1">
      <x:alignment vertical="top" wrapText="1"/>
    </x:xf>
    <x:xf numFmtId="0" fontId="25" fillId="64" borderId="0" xfId="0" applyNumberFormat="1" applyFont="1" applyFill="1" applyBorder="1" applyAlignment="1">
      <x:alignment vertical="top" wrapText="1"/>
    </x:xf>
    <x:xf numFmtId="0" fontId="25" fillId="65" borderId="0" xfId="0" applyNumberFormat="1" applyFont="1" applyFill="1" applyBorder="1" applyAlignment="1">
      <x:alignment vertical="top" wrapText="1"/>
    </x:xf>
    <x:xf numFmtId="0" fontId="25" fillId="66" borderId="0" xfId="0" applyNumberFormat="1" applyFont="1" applyFill="1" applyBorder="1" applyAlignment="1">
      <x:alignment vertical="top" wrapText="1"/>
    </x:xf>
    <x:xf numFmtId="202" fontId="20" fillId="59" borderId="0" xfId="0" applyNumberFormat="1" applyFont="1" applyFill="1" applyBorder="1" applyAlignment="1">
      <x:alignment vertical="center" wrapText="1"/>
    </x:xf>
    <x:xf numFmtId="0" fontId="27" fillId="67" borderId="0" xfId="0" applyNumberFormat="1" applyFont="1" applyFill="1" applyBorder="1" applyAlignment="1">
      <x:alignment vertical="center" wrapText="1"/>
    </x:xf>
    <x:xf numFmtId="0" fontId="27" fillId="68" borderId="0" xfId="0" applyNumberFormat="1" applyFont="1" applyFill="1" applyBorder="1" applyAlignment="1">
      <x:alignment vertical="top" wrapText="1"/>
    </x:xf>
    <x:xf numFmtId="202" fontId="27" fillId="68" borderId="0" xfId="0" applyNumberFormat="1" applyFont="1" applyFill="1" applyBorder="1" applyAlignment="1">
      <x:alignment vertical="top" wrapText="1"/>
    </x:xf>
    <x:xf numFmtId="0" fontId="20" fillId="68" borderId="0" xfId="0" applyNumberFormat="1" applyFont="1" applyFill="1" applyBorder="1" applyAlignment="1">
      <x:alignment vertical="top" wrapText="1"/>
    </x:xf>
    <x:xf numFmtId="202" fontId="20" fillId="68" borderId="0" xfId="0" applyNumberFormat="1" applyFont="1" applyFill="1" applyBorder="1" applyAlignment="1">
      <x:alignment vertical="top" wrapText="1"/>
    </x:xf>
    <x:xf numFmtId="0" fontId="20" fillId="68" borderId="0" xfId="0" applyNumberFormat="1" applyFont="1" applyFill="1" applyBorder="1" applyAlignment="1">
      <x:alignment vertical="center" wrapText="1"/>
    </x:xf>
    <x:xf numFmtId="202" fontId="20" fillId="68" borderId="0" xfId="0" applyNumberFormat="1" applyFont="1" applyFill="1" applyBorder="1" applyAlignment="1">
      <x:alignment vertical="center" wrapText="1"/>
    </x:xf>
    <x:xf numFmtId="203" fontId="25" fillId="59" borderId="0" xfId="0" applyNumberFormat="1" applyFont="1" applyFill="1" applyBorder="1" applyAlignment="1">
      <x:alignment vertical="top" wrapText="1"/>
    </x:xf>
    <x:xf numFmtId="203" fontId="25" fillId="61" borderId="0" xfId="0" applyNumberFormat="1" applyFont="1" applyFill="1" applyBorder="1" applyAlignment="1">
      <x:alignment vertical="top" wrapText="1"/>
    </x:xf>
    <x:xf numFmtId="0" fontId="25" fillId="69" borderId="0" xfId="0" applyNumberFormat="1" applyFont="1" applyFill="1" applyBorder="1" applyAlignment="1">
      <x:alignment vertical="top" wrapText="1"/>
    </x:xf>
    <x:xf numFmtId="0" fontId="27" fillId="68" borderId="0" xfId="0" applyNumberFormat="1" applyFont="1" applyFill="1" applyBorder="1" applyAlignment="1">
      <x:alignment vertical="center" wrapText="1"/>
    </x:xf>
    <x:xf numFmtId="203" fontId="25" fillId="68" borderId="0" xfId="0" applyNumberFormat="1" applyFont="1" applyFill="1" applyBorder="1" applyAlignment="1">
      <x:alignment vertical="top" wrapText="1"/>
    </x:xf>
    <x:xf numFmtId="203" fontId="20" fillId="68" borderId="0" xfId="0" applyNumberFormat="1" applyFont="1" applyFill="1" applyBorder="1" applyAlignment="1">
      <x:alignment vertical="top" wrapText="1"/>
    </x:xf>
    <x:xf numFmtId="203" fontId="20" fillId="68" borderId="0" xfId="0" applyNumberFormat="1" applyFont="1" applyFill="1" applyBorder="1" applyAlignment="1">
      <x:alignment vertical="center" wrapText="1"/>
    </x:xf>
    <x:xf numFmtId="0" fontId="27" fillId="59" borderId="0" xfId="0" applyNumberFormat="1" applyFont="1" applyFill="1" applyBorder="1" applyAlignment="1">
      <x:alignment vertical="center" wrapText="1"/>
    </x:xf>
    <x:xf numFmtId="0" fontId="20" fillId="67" borderId="0" xfId="0" applyNumberFormat="1" applyFont="1" applyFill="1" applyBorder="1" applyAlignment="1">
      <x:alignment vertical="center" wrapText="1"/>
    </x:xf>
    <x:xf numFmtId="0" fontId="20" fillId="59" borderId="0" xfId="0" applyNumberFormat="1" applyFont="1" applyFill="1" applyBorder="1" applyAlignment="1">
      <x:alignment vertical="center" wrapText="1"/>
    </x:xf>
    <x:xf numFmtId="0" fontId="30" fillId="59" borderId="0" xfId="0" applyNumberFormat="1" applyFont="1" applyFill="1" applyBorder="1" applyAlignment="1">
      <x:alignment vertical="center" wrapText="1"/>
    </x:xf>
    <x:xf numFmtId="0" fontId="26" fillId="59" borderId="0" xfId="0" applyNumberFormat="1" applyFont="1" applyFill="1" applyBorder="1" applyAlignment="1">
      <x:alignment vertical="center" wrapText="1"/>
    </x:xf>
    <x:xf numFmtId="0" fontId="27" fillId="59" borderId="0" xfId="0" applyNumberFormat="1" applyFont="1" applyFill="1" applyBorder="1" applyAlignment="1">
      <x:alignment vertical="top" wrapText="1"/>
    </x:xf>
    <x:xf numFmtId="0" fontId="27" fillId="70" borderId="0" xfId="0" applyNumberFormat="1" applyFont="1" applyFill="1" applyBorder="1" applyAlignment="1">
      <x:alignment vertical="top" wrapText="1"/>
    </x:xf>
    <x:xf numFmtId="0" fontId="26" fillId="70" borderId="0" xfId="0" applyNumberFormat="1" applyFont="1" applyFill="1" applyBorder="1" applyAlignment="1">
      <x:alignment vertical="top" wrapText="1"/>
    </x:xf>
    <x:xf numFmtId="0" fontId="26" fillId="70" borderId="0" xfId="0" applyNumberFormat="1" applyFont="1" applyFill="1" applyBorder="1" applyAlignment="1">
      <x:alignment vertical="center" wrapText="1"/>
    </x:xf>
    <x:xf numFmtId="0" fontId="27" fillId="67" borderId="0" xfId="0" applyNumberFormat="1" applyFont="1" applyFill="1" applyBorder="1" applyAlignment="1">
      <x:alignment vertical="top" wrapText="1"/>
    </x:xf>
    <x:xf numFmtId="0" fontId="20" fillId="71" borderId="1" xfId="0" applyNumberFormat="1" applyFont="1" applyFill="1" applyBorder="1" applyAlignment="1">
      <x:alignment horizontal="left" vertical="center" wrapText="1"/>
    </x:xf>
    <x:xf numFmtId="165" fontId="34" fillId="71" borderId="1" xfId="0" applyNumberFormat="1" applyFont="1" applyFill="1" applyBorder="1" applyAlignment="1">
      <x:alignment horizontal="left" vertical="center" wrapText="1"/>
    </x:xf>
    <x:xf numFmtId="166" fontId="34" fillId="71" borderId="1" xfId="0" applyNumberFormat="1" applyFont="1" applyFill="1" applyBorder="1" applyAlignment="1">
      <x:alignment horizontal="left" vertical="center" wrapText="1"/>
    </x:xf>
    <x:xf numFmtId="0" fontId="34" fillId="71" borderId="1" xfId="0" applyNumberFormat="1" applyFont="1" applyFill="1" applyBorder="1" applyAlignment="1">
      <x:alignment horizontal="left" vertical="center" wrapText="1"/>
    </x:xf>
    <x:xf numFmtId="0" fontId="34" fillId="71" borderId="0" xfId="0" applyNumberFormat="1" applyFont="1" applyFill="1" applyBorder="1" applyAlignment="1">
      <x:alignment horizontal="left" vertical="center" wrapText="1"/>
    </x:xf>
    <x:xf numFmtId="167" fontId="34" fillId="71" borderId="1" xfId="0" applyNumberFormat="1" applyFont="1" applyFill="1" applyBorder="1" applyAlignment="1">
      <x:alignment horizontal="left" vertical="center" wrapText="1"/>
    </x:xf>
    <x:xf numFmtId="168" fontId="34" fillId="71" borderId="1" xfId="0" applyNumberFormat="1" applyFont="1" applyFill="1" applyBorder="1" applyAlignment="1">
      <x:alignment horizontal="left" vertical="center" wrapText="1"/>
    </x:xf>
    <x:xf numFmtId="170" fontId="34" fillId="71" borderId="1" xfId="0" applyNumberFormat="1" applyFont="1" applyFill="1" applyBorder="1" applyAlignment="1">
      <x:alignment horizontal="left" vertical="center" wrapText="1"/>
    </x:xf>
    <x:xf numFmtId="0" fontId="35" fillId="71" borderId="6" xfId="0" applyNumberFormat="1" applyFont="1" applyFill="1" applyBorder="1" applyAlignment="1">
      <x:alignment horizontal="left" vertical="center" wrapText="1"/>
    </x:xf>
    <x:xf numFmtId="0" fontId="35" fillId="71" borderId="7" xfId="0" applyNumberFormat="1" applyFont="1" applyFill="1" applyBorder="1" applyAlignment="1">
      <x:alignment horizontal="left" vertical="center" wrapText="1"/>
    </x:xf>
    <x:xf numFmtId="0" fontId="35" fillId="71" borderId="8" xfId="0" applyNumberFormat="1" applyFont="1" applyFill="1" applyBorder="1" applyAlignment="1">
      <x:alignment horizontal="left" vertical="center" wrapText="1"/>
    </x:xf>
    <x:xf numFmtId="0" fontId="35" fillId="71" borderId="9" xfId="0" applyNumberFormat="1" applyFont="1" applyFill="1" applyBorder="1" applyAlignment="1">
      <x:alignment horizontal="left" vertical="center" wrapText="1"/>
    </x:xf>
    <x:xf numFmtId="0" fontId="35" fillId="71" borderId="0" xfId="0" applyNumberFormat="1" applyFont="1" applyFill="1" applyBorder="1" applyAlignment="1">
      <x:alignment horizontal="left" vertical="center" wrapText="1"/>
    </x:xf>
    <x:xf numFmtId="0" fontId="35" fillId="71" borderId="10" xfId="0" applyNumberFormat="1" applyFont="1" applyFill="1" applyBorder="1" applyAlignment="1">
      <x:alignment horizontal="left" vertical="center" wrapText="1"/>
    </x:xf>
    <x:xf numFmtId="0" fontId="35" fillId="71" borderId="11" xfId="0" applyNumberFormat="1" applyFont="1" applyFill="1" applyBorder="1" applyAlignment="1">
      <x:alignment horizontal="left" vertical="center" wrapText="1"/>
    </x:xf>
    <x:xf numFmtId="0" fontId="35" fillId="71" borderId="12" xfId="0" applyNumberFormat="1" applyFont="1" applyFill="1" applyBorder="1" applyAlignment="1">
      <x:alignment horizontal="left" vertical="center" wrapText="1"/>
    </x:xf>
    <x:xf numFmtId="0" fontId="35" fillId="71" borderId="13" xfId="0" applyNumberFormat="1" applyFont="1" applyFill="1" applyBorder="1" applyAlignment="1">
      <x:alignment horizontal="left" vertical="center" wrapText="1"/>
    </x:xf>
    <x:xf numFmtId="0" fontId="36" fillId="68" borderId="9" xfId="0" applyNumberFormat="1" applyFont="1" applyFill="1" applyBorder="1" applyAlignment="1">
      <x:alignment horizontal="left" vertical="center" wrapText="1"/>
    </x:xf>
    <x:xf numFmtId="0" fontId="36" fillId="68" borderId="0" xfId="0" applyNumberFormat="1" applyFont="1" applyFill="1" applyBorder="1" applyAlignment="1">
      <x:alignment horizontal="left" vertical="center" wrapText="1"/>
    </x:xf>
    <x:xf numFmtId="0" fontId="36" fillId="68" borderId="10" xfId="0" applyNumberFormat="1" applyFont="1" applyFill="1" applyBorder="1" applyAlignment="1">
      <x:alignment horizontal="left" vertical="center" wrapText="1"/>
    </x:xf>
    <x:xf numFmtId="0" fontId="36" fillId="68" borderId="11" xfId="0" applyNumberFormat="1" applyFont="1" applyFill="1" applyBorder="1" applyAlignment="1">
      <x:alignment horizontal="left" vertical="center" wrapText="1"/>
    </x:xf>
    <x:xf numFmtId="0" fontId="36" fillId="68" borderId="12" xfId="0" applyNumberFormat="1" applyFont="1" applyFill="1" applyBorder="1" applyAlignment="1">
      <x:alignment horizontal="left" vertical="center" wrapText="1"/>
    </x:xf>
    <x:xf numFmtId="0" fontId="36" fillId="68" borderId="13" xfId="0" applyNumberFormat="1" applyFont="1" applyFill="1" applyBorder="1" applyAlignment="1">
      <x:alignment horizontal="left" vertical="center" wrapText="1"/>
    </x:xf>
    <x:xf numFmtId="0" fontId="25" fillId="72" borderId="0" xfId="0" applyNumberFormat="1" applyFont="1" applyFill="1" applyBorder="1" applyAlignment="1">
      <x:alignment vertical="top" wrapText="1"/>
    </x:xf>
    <x:xf numFmtId="201" fontId="25" fillId="72" borderId="0" xfId="0" applyNumberFormat="1" applyFont="1" applyFill="1" applyBorder="1" applyAlignment="1">
      <x:alignment vertical="top" wrapText="1"/>
    </x:xf>
    <x:xf numFmtId="202" fontId="25" fillId="72" borderId="0" xfId="0" applyNumberFormat="1" applyFont="1" applyFill="1" applyBorder="1" applyAlignment="1">
      <x:alignment vertical="top" wrapText="1"/>
    </x:xf>
    <x:xf numFmtId="0" fontId="28" fillId="72" borderId="0" xfId="0" applyNumberFormat="1" applyFont="1" applyFill="1" applyBorder="1" applyAlignment="1">
      <x:alignment vertical="top" wrapText="1"/>
    </x:xf>
    <x:xf numFmtId="0" fontId="25" fillId="73" borderId="0" xfId="0" applyNumberFormat="1" applyFont="1" applyFill="1" applyBorder="1" applyAlignment="1">
      <x:alignment vertical="top" wrapText="1"/>
    </x:xf>
    <x:xf numFmtId="0" fontId="25" fillId="74" borderId="0" xfId="0" applyNumberFormat="1" applyFont="1" applyFill="1" applyBorder="1" applyAlignment="1">
      <x:alignment vertical="top" wrapText="1"/>
    </x:xf>
    <x:xf numFmtId="201" fontId="25" fillId="74" borderId="0" xfId="0" applyNumberFormat="1" applyFont="1" applyFill="1" applyBorder="1" applyAlignment="1">
      <x:alignment vertical="top" wrapText="1"/>
    </x:xf>
    <x:xf numFmtId="202" fontId="25" fillId="74" borderId="0" xfId="0" applyNumberFormat="1" applyFont="1" applyFill="1" applyBorder="1" applyAlignment="1">
      <x:alignment vertical="top" wrapText="1"/>
    </x:xf>
    <x:xf numFmtId="0" fontId="28" fillId="74" borderId="0" xfId="0" applyNumberFormat="1" applyFont="1" applyFill="1" applyBorder="1" applyAlignment="1">
      <x:alignment vertical="top" wrapText="1"/>
    </x:xf>
    <x:xf numFmtId="0" fontId="25" fillId="75" borderId="0" xfId="0" applyNumberFormat="1" applyFont="1" applyFill="1" applyBorder="1" applyAlignment="1">
      <x:alignment vertical="top" wrapText="1"/>
    </x:xf>
    <x:xf numFmtId="0" fontId="25" fillId="76" borderId="0" xfId="0" applyNumberFormat="1" applyFont="1" applyFill="1" applyBorder="1" applyAlignment="1">
      <x:alignment vertical="top" wrapText="1"/>
    </x:xf>
    <x:xf numFmtId="0" fontId="25" fillId="77" borderId="0" xfId="0" applyNumberFormat="1" applyFont="1" applyFill="1" applyBorder="1" applyAlignment="1">
      <x:alignment vertical="top" wrapText="1"/>
    </x:xf>
    <x:xf numFmtId="0" fontId="25" fillId="78" borderId="0" xfId="0" applyNumberFormat="1" applyFont="1" applyFill="1" applyBorder="1" applyAlignment="1">
      <x:alignment vertical="top" wrapText="1"/>
    </x:xf>
    <x:xf numFmtId="0" fontId="25" fillId="79" borderId="0" xfId="0" applyNumberFormat="1" applyFont="1" applyFill="1" applyBorder="1" applyAlignment="1">
      <x:alignment vertical="top" wrapText="1"/>
    </x:xf>
    <x:xf numFmtId="202" fontId="20" fillId="72" borderId="0" xfId="0" applyNumberFormat="1" applyFont="1" applyFill="1" applyBorder="1" applyAlignment="1">
      <x:alignment vertical="center" wrapText="1"/>
    </x:xf>
    <x:xf numFmtId="0" fontId="27" fillId="80" borderId="0" xfId="0" applyNumberFormat="1" applyFont="1" applyFill="1" applyBorder="1" applyAlignment="1">
      <x:alignment vertical="center" wrapText="1"/>
    </x:xf>
    <x:xf numFmtId="0" fontId="20" fillId="72" borderId="0" xfId="0" applyNumberFormat="1" applyFont="1" applyFill="1" applyBorder="1" applyAlignment="1">
      <x:alignment vertical="center" wrapText="1"/>
    </x:xf>
    <x:xf numFmtId="203" fontId="20" fillId="72" borderId="0" xfId="0" applyNumberFormat="1" applyFont="1" applyFill="1" applyBorder="1" applyAlignment="1">
      <x:alignment vertical="center" wrapText="1"/>
    </x:xf>
    <x:xf numFmtId="0" fontId="0" fillId="72" borderId="0" xfId="0" applyNumberFormat="1" applyFont="1" applyFill="1" applyBorder="1"/>
    <x:xf numFmtId="0" fontId="27" fillId="72" borderId="0" xfId="0" applyNumberFormat="1" applyFont="1" applyFill="1" applyBorder="1" applyAlignment="1">
      <x:alignment vertical="center" wrapText="1"/>
    </x:xf>
    <x:xf numFmtId="203" fontId="25" fillId="72" borderId="0" xfId="0" applyNumberFormat="1" applyFont="1" applyFill="1" applyBorder="1" applyAlignment="1">
      <x:alignment vertical="top" wrapText="1"/>
    </x:xf>
    <x:xf numFmtId="0" fontId="29" fillId="72" borderId="0" xfId="0" applyNumberFormat="1" applyFont="1" applyFill="1" applyBorder="1" applyAlignment="1">
      <x:alignment vertical="center" wrapText="1"/>
    </x:xf>
    <x:xf numFmtId="0" fontId="30" fillId="72" borderId="0" xfId="0" applyNumberFormat="1" applyFont="1" applyFill="1" applyBorder="1" applyAlignment="1">
      <x:alignment vertical="center" wrapText="1"/>
    </x:xf>
    <x:xf numFmtId="0" fontId="27" fillId="81" borderId="0" xfId="0" applyNumberFormat="1" applyFont="1" applyFill="1" applyBorder="1" applyAlignment="1">
      <x:alignment vertical="top" wrapText="1"/>
    </x:xf>
    <x:xf numFmtId="202" fontId="27" fillId="81" borderId="0" xfId="0" applyNumberFormat="1" applyFont="1" applyFill="1" applyBorder="1" applyAlignment="1">
      <x:alignment vertical="top" wrapText="1"/>
    </x:xf>
    <x:xf numFmtId="0" fontId="20" fillId="81" borderId="0" xfId="0" applyNumberFormat="1" applyFont="1" applyFill="1" applyBorder="1" applyAlignment="1">
      <x:alignment vertical="top" wrapText="1"/>
    </x:xf>
    <x:xf numFmtId="202" fontId="20" fillId="81" borderId="0" xfId="0" applyNumberFormat="1" applyFont="1" applyFill="1" applyBorder="1" applyAlignment="1">
      <x:alignment vertical="top" wrapText="1"/>
    </x:xf>
    <x:xf numFmtId="0" fontId="20" fillId="81" borderId="0" xfId="0" applyNumberFormat="1" applyFont="1" applyFill="1" applyBorder="1" applyAlignment="1">
      <x:alignment vertical="center" wrapText="1"/>
    </x:xf>
    <x:xf numFmtId="202" fontId="20" fillId="81" borderId="0" xfId="0" applyNumberFormat="1" applyFont="1" applyFill="1" applyBorder="1" applyAlignment="1">
      <x:alignment vertical="center" wrapText="1"/>
    </x:xf>
    <x:xf numFmtId="203" fontId="25" fillId="74" borderId="0" xfId="0" applyNumberFormat="1" applyFont="1" applyFill="1" applyBorder="1" applyAlignment="1">
      <x:alignment vertical="top" wrapText="1"/>
    </x:xf>
    <x:xf numFmtId="0" fontId="25" fillId="82" borderId="0" xfId="0" applyNumberFormat="1" applyFont="1" applyFill="1" applyBorder="1" applyAlignment="1">
      <x:alignment vertical="top" wrapText="1"/>
    </x:xf>
    <x:xf numFmtId="203" fontId="20" fillId="81" borderId="0" xfId="0" applyNumberFormat="1" applyFont="1" applyFill="1" applyBorder="1" applyAlignment="1">
      <x:alignment vertical="center" wrapText="1"/>
    </x:xf>
    <x:xf numFmtId="0" fontId="26" fillId="72" borderId="0" xfId="0" applyNumberFormat="1" applyFont="1" applyFill="1" applyBorder="1" applyAlignment="1">
      <x:alignment vertical="center" wrapText="1"/>
    </x:xf>
    <x:xf numFmtId="0" fontId="27" fillId="72" borderId="0" xfId="0" applyNumberFormat="1" applyFont="1" applyFill="1" applyBorder="1" applyAlignment="1">
      <x:alignment vertical="top" wrapText="1"/>
    </x:xf>
    <x:xf numFmtId="0" fontId="27" fillId="83" borderId="0" xfId="0" applyNumberFormat="1" applyFont="1" applyFill="1" applyBorder="1" applyAlignment="1">
      <x:alignment vertical="top" wrapText="1"/>
    </x:xf>
    <x:xf numFmtId="0" fontId="26" fillId="83" borderId="0" xfId="0" applyNumberFormat="1" applyFont="1" applyFill="1" applyBorder="1" applyAlignment="1">
      <x:alignment vertical="top" wrapText="1"/>
    </x:xf>
    <x:xf numFmtId="0" fontId="26" fillId="83" borderId="0" xfId="0" applyNumberFormat="1" applyFont="1" applyFill="1" applyBorder="1" applyAlignment="1">
      <x:alignment vertical="center" wrapText="1"/>
    </x:xf>
    <x:xf numFmtId="0" fontId="27" fillId="80" borderId="0" xfId="0" applyNumberFormat="1" applyFont="1" applyFill="1" applyBorder="1" applyAlignment="1">
      <x:alignment vertical="top" wrapText="1"/>
    </x:xf>
    <x:xf numFmtId="0" fontId="20" fillId="84" borderId="1" xfId="0" applyNumberFormat="1" applyFont="1" applyFill="1" applyBorder="1" applyAlignment="1">
      <x:alignment horizontal="left" vertical="center" wrapText="1"/>
    </x:xf>
    <x:xf numFmtId="165" fontId="34" fillId="84" borderId="1" xfId="0" applyNumberFormat="1" applyFont="1" applyFill="1" applyBorder="1" applyAlignment="1">
      <x:alignment horizontal="left" vertical="center" wrapText="1"/>
    </x:xf>
    <x:xf numFmtId="166" fontId="34" fillId="84" borderId="1" xfId="0" applyNumberFormat="1" applyFont="1" applyFill="1" applyBorder="1" applyAlignment="1">
      <x:alignment horizontal="left" vertical="center" wrapText="1"/>
    </x:xf>
    <x:xf numFmtId="0" fontId="34" fillId="84" borderId="1" xfId="0" applyNumberFormat="1" applyFont="1" applyFill="1" applyBorder="1" applyAlignment="1">
      <x:alignment horizontal="left" vertical="center" wrapText="1"/>
    </x:xf>
    <x:xf numFmtId="0" fontId="34" fillId="84" borderId="0" xfId="0" applyNumberFormat="1" applyFont="1" applyFill="1" applyBorder="1" applyAlignment="1">
      <x:alignment horizontal="left" vertical="center" wrapText="1"/>
    </x:xf>
    <x:xf numFmtId="167" fontId="34" fillId="84" borderId="1" xfId="0" applyNumberFormat="1" applyFont="1" applyFill="1" applyBorder="1" applyAlignment="1">
      <x:alignment horizontal="left" vertical="center" wrapText="1"/>
    </x:xf>
    <x:xf numFmtId="168" fontId="34" fillId="84" borderId="1" xfId="0" applyNumberFormat="1" applyFont="1" applyFill="1" applyBorder="1" applyAlignment="1">
      <x:alignment horizontal="left" vertical="center" wrapText="1"/>
    </x:xf>
    <x:xf numFmtId="170" fontId="34" fillId="84" borderId="1" xfId="0" applyNumberFormat="1" applyFont="1" applyFill="1" applyBorder="1" applyAlignment="1">
      <x:alignment horizontal="left" vertical="center" wrapText="1"/>
    </x:xf>
    <x:xf numFmtId="0" fontId="35" fillId="84" borderId="6" xfId="0" applyNumberFormat="1" applyFont="1" applyFill="1" applyBorder="1" applyAlignment="1">
      <x:alignment horizontal="left" vertical="center" wrapText="1"/>
    </x:xf>
    <x:xf numFmtId="0" fontId="35" fillId="84" borderId="7" xfId="0" applyNumberFormat="1" applyFont="1" applyFill="1" applyBorder="1" applyAlignment="1">
      <x:alignment horizontal="left" vertical="center" wrapText="1"/>
    </x:xf>
    <x:xf numFmtId="0" fontId="35" fillId="84" borderId="8" xfId="0" applyNumberFormat="1" applyFont="1" applyFill="1" applyBorder="1" applyAlignment="1">
      <x:alignment horizontal="left" vertical="center" wrapText="1"/>
    </x:xf>
    <x:xf numFmtId="0" fontId="35" fillId="84" borderId="9" xfId="0" applyNumberFormat="1" applyFont="1" applyFill="1" applyBorder="1" applyAlignment="1">
      <x:alignment horizontal="left" vertical="center" wrapText="1"/>
    </x:xf>
    <x:xf numFmtId="0" fontId="35" fillId="84" borderId="0" xfId="0" applyNumberFormat="1" applyFont="1" applyFill="1" applyBorder="1" applyAlignment="1">
      <x:alignment horizontal="left" vertical="center" wrapText="1"/>
    </x:xf>
    <x:xf numFmtId="0" fontId="35" fillId="84" borderId="10" xfId="0" applyNumberFormat="1" applyFont="1" applyFill="1" applyBorder="1" applyAlignment="1">
      <x:alignment horizontal="left" vertical="center" wrapText="1"/>
    </x:xf>
    <x:xf numFmtId="0" fontId="35" fillId="84" borderId="11" xfId="0" applyNumberFormat="1" applyFont="1" applyFill="1" applyBorder="1" applyAlignment="1">
      <x:alignment horizontal="left" vertical="center" wrapText="1"/>
    </x:xf>
    <x:xf numFmtId="0" fontId="35" fillId="84" borderId="12" xfId="0" applyNumberFormat="1" applyFont="1" applyFill="1" applyBorder="1" applyAlignment="1">
      <x:alignment horizontal="left" vertical="center" wrapText="1"/>
    </x:xf>
    <x:xf numFmtId="0" fontId="35" fillId="84" borderId="13" xfId="0" applyNumberFormat="1" applyFont="1" applyFill="1" applyBorder="1" applyAlignment="1">
      <x:alignment horizontal="left" vertical="center" wrapText="1"/>
    </x:xf>
    <x:xf numFmtId="0" fontId="36" fillId="81" borderId="9" xfId="0" applyNumberFormat="1" applyFont="1" applyFill="1" applyBorder="1" applyAlignment="1">
      <x:alignment horizontal="left" vertical="center" wrapText="1"/>
    </x:xf>
    <x:xf numFmtId="0" fontId="36" fillId="81" borderId="0" xfId="0" applyNumberFormat="1" applyFont="1" applyFill="1" applyBorder="1" applyAlignment="1">
      <x:alignment horizontal="left" vertical="center" wrapText="1"/>
    </x:xf>
    <x:xf numFmtId="0" fontId="36" fillId="81" borderId="10" xfId="0" applyNumberFormat="1" applyFont="1" applyFill="1" applyBorder="1" applyAlignment="1">
      <x:alignment horizontal="left" vertical="center" wrapText="1"/>
    </x:xf>
    <x:xf numFmtId="0" fontId="36" fillId="81" borderId="11" xfId="0" applyNumberFormat="1" applyFont="1" applyFill="1" applyBorder="1" applyAlignment="1">
      <x:alignment horizontal="left" vertical="center" wrapText="1"/>
    </x:xf>
    <x:xf numFmtId="0" fontId="36" fillId="81" borderId="12" xfId="0" applyNumberFormat="1" applyFont="1" applyFill="1" applyBorder="1" applyAlignment="1">
      <x:alignment horizontal="left" vertical="center" wrapText="1"/>
    </x:xf>
    <x:xf numFmtId="0" fontId="36" fillId="81" borderId="13" xfId="0" applyNumberFormat="1" applyFont="1" applyFill="1" applyBorder="1" applyAlignment="1">
      <x:alignment horizontal="left" vertical="center" wrapText="1"/>
    </x:xf>
    <x:xf numFmtId="0" fontId="25" fillId="85" borderId="0" xfId="0" applyNumberFormat="1" applyFont="1" applyFill="1" applyBorder="1" applyAlignment="1">
      <x:alignment vertical="top" wrapText="1"/>
    </x:xf>
    <x:xf numFmtId="201" fontId="25" fillId="85" borderId="0" xfId="0" applyNumberFormat="1" applyFont="1" applyFill="1" applyBorder="1" applyAlignment="1">
      <x:alignment vertical="top" wrapText="1"/>
    </x:xf>
    <x:xf numFmtId="202" fontId="25" fillId="85" borderId="0" xfId="0" applyNumberFormat="1" applyFont="1" applyFill="1" applyBorder="1" applyAlignment="1">
      <x:alignment vertical="top" wrapText="1"/>
    </x:xf>
    <x:xf numFmtId="0" fontId="28" fillId="85" borderId="0" xfId="0" applyNumberFormat="1" applyFont="1" applyFill="1" applyBorder="1" applyAlignment="1">
      <x:alignment vertical="top" wrapText="1"/>
    </x:xf>
    <x:xf numFmtId="0" fontId="25" fillId="86" borderId="0" xfId="0" applyNumberFormat="1" applyFont="1" applyFill="1" applyBorder="1" applyAlignment="1">
      <x:alignment vertical="top" wrapText="1"/>
    </x:xf>
    <x:xf numFmtId="0" fontId="25" fillId="87" borderId="0" xfId="0" applyNumberFormat="1" applyFont="1" applyFill="1" applyBorder="1" applyAlignment="1">
      <x:alignment vertical="top" wrapText="1"/>
    </x:xf>
    <x:xf numFmtId="201" fontId="25" fillId="87" borderId="0" xfId="0" applyNumberFormat="1" applyFont="1" applyFill="1" applyBorder="1" applyAlignment="1">
      <x:alignment vertical="top" wrapText="1"/>
    </x:xf>
    <x:xf numFmtId="202" fontId="25" fillId="87" borderId="0" xfId="0" applyNumberFormat="1" applyFont="1" applyFill="1" applyBorder="1" applyAlignment="1">
      <x:alignment vertical="top" wrapText="1"/>
    </x:xf>
    <x:xf numFmtId="0" fontId="28" fillId="87" borderId="0" xfId="0" applyNumberFormat="1" applyFont="1" applyFill="1" applyBorder="1" applyAlignment="1">
      <x:alignment vertical="top" wrapText="1"/>
    </x:xf>
    <x:xf numFmtId="0" fontId="25" fillId="88" borderId="0" xfId="0" applyNumberFormat="1" applyFont="1" applyFill="1" applyBorder="1" applyAlignment="1">
      <x:alignment vertical="top" wrapText="1"/>
    </x:xf>
    <x:xf numFmtId="0" fontId="25" fillId="89" borderId="0" xfId="0" applyNumberFormat="1" applyFont="1" applyFill="1" applyBorder="1" applyAlignment="1">
      <x:alignment vertical="top" wrapText="1"/>
    </x:xf>
    <x:xf numFmtId="0" fontId="25" fillId="90" borderId="0" xfId="0" applyNumberFormat="1" applyFont="1" applyFill="1" applyBorder="1" applyAlignment="1">
      <x:alignment vertical="top" wrapText="1"/>
    </x:xf>
    <x:xf numFmtId="0" fontId="25" fillId="91" borderId="0" xfId="0" applyNumberFormat="1" applyFont="1" applyFill="1" applyBorder="1" applyAlignment="1">
      <x:alignment vertical="top" wrapText="1"/>
    </x:xf>
    <x:xf numFmtId="0" fontId="25" fillId="92" borderId="0" xfId="0" applyNumberFormat="1" applyFont="1" applyFill="1" applyBorder="1" applyAlignment="1">
      <x:alignment vertical="top" wrapText="1"/>
    </x:xf>
    <x:xf numFmtId="202" fontId="20" fillId="85" borderId="0" xfId="0" applyNumberFormat="1" applyFont="1" applyFill="1" applyBorder="1" applyAlignment="1">
      <x:alignment vertical="center" wrapText="1"/>
    </x:xf>
    <x:xf numFmtId="0" fontId="27" fillId="93" borderId="0" xfId="0" applyNumberFormat="1" applyFont="1" applyFill="1" applyBorder="1" applyAlignment="1">
      <x:alignment vertical="center" wrapText="1"/>
    </x:xf>
    <x:xf numFmtId="0" fontId="20" fillId="85" borderId="0" xfId="0" applyNumberFormat="1" applyFont="1" applyFill="1" applyBorder="1" applyAlignment="1">
      <x:alignment vertical="center" wrapText="1"/>
    </x:xf>
    <x:xf numFmtId="203" fontId="20" fillId="85" borderId="0" xfId="0" applyNumberFormat="1" applyFont="1" applyFill="1" applyBorder="1" applyAlignment="1">
      <x:alignment vertical="center" wrapText="1"/>
    </x:xf>
    <x:xf numFmtId="0" fontId="0" fillId="85" borderId="0" xfId="0" applyNumberFormat="1" applyFont="1" applyFill="1" applyBorder="1"/>
    <x:xf numFmtId="0" fontId="27" fillId="85" borderId="0" xfId="0" applyNumberFormat="1" applyFont="1" applyFill="1" applyBorder="1" applyAlignment="1">
      <x:alignment vertical="center" wrapText="1"/>
    </x:xf>
    <x:xf numFmtId="203" fontId="25" fillId="85" borderId="0" xfId="0" applyNumberFormat="1" applyFont="1" applyFill="1" applyBorder="1" applyAlignment="1">
      <x:alignment vertical="top" wrapText="1"/>
    </x:xf>
    <x:xf numFmtId="0" fontId="29" fillId="85" borderId="0" xfId="0" applyNumberFormat="1" applyFont="1" applyFill="1" applyBorder="1" applyAlignment="1">
      <x:alignment vertical="center" wrapText="1"/>
    </x:xf>
    <x:xf numFmtId="0" fontId="30" fillId="85" borderId="0" xfId="0" applyNumberFormat="1" applyFont="1" applyFill="1" applyBorder="1" applyAlignment="1">
      <x:alignment vertical="center" wrapText="1"/>
    </x:xf>
    <x:xf numFmtId="0" fontId="27" fillId="94" borderId="0" xfId="0" applyNumberFormat="1" applyFont="1" applyFill="1" applyBorder="1" applyAlignment="1">
      <x:alignment vertical="top" wrapText="1"/>
    </x:xf>
    <x:xf numFmtId="202" fontId="27" fillId="94" borderId="0" xfId="0" applyNumberFormat="1" applyFont="1" applyFill="1" applyBorder="1" applyAlignment="1">
      <x:alignment vertical="top" wrapText="1"/>
    </x:xf>
    <x:xf numFmtId="0" fontId="20" fillId="94" borderId="0" xfId="0" applyNumberFormat="1" applyFont="1" applyFill="1" applyBorder="1" applyAlignment="1">
      <x:alignment vertical="top" wrapText="1"/>
    </x:xf>
    <x:xf numFmtId="202" fontId="20" fillId="94" borderId="0" xfId="0" applyNumberFormat="1" applyFont="1" applyFill="1" applyBorder="1" applyAlignment="1">
      <x:alignment vertical="top" wrapText="1"/>
    </x:xf>
    <x:xf numFmtId="0" fontId="20" fillId="94" borderId="0" xfId="0" applyNumberFormat="1" applyFont="1" applyFill="1" applyBorder="1" applyAlignment="1">
      <x:alignment vertical="center" wrapText="1"/>
    </x:xf>
    <x:xf numFmtId="202" fontId="20" fillId="94" borderId="0" xfId="0" applyNumberFormat="1" applyFont="1" applyFill="1" applyBorder="1" applyAlignment="1">
      <x:alignment vertical="center" wrapText="1"/>
    </x:xf>
    <x:xf numFmtId="203" fontId="25" fillId="87" borderId="0" xfId="0" applyNumberFormat="1" applyFont="1" applyFill="1" applyBorder="1" applyAlignment="1">
      <x:alignment vertical="top" wrapText="1"/>
    </x:xf>
    <x:xf numFmtId="0" fontId="25" fillId="95" borderId="0" xfId="0" applyNumberFormat="1" applyFont="1" applyFill="1" applyBorder="1" applyAlignment="1">
      <x:alignment vertical="top" wrapText="1"/>
    </x:xf>
    <x:xf numFmtId="203" fontId="20" fillId="94" borderId="0" xfId="0" applyNumberFormat="1" applyFont="1" applyFill="1" applyBorder="1" applyAlignment="1">
      <x:alignment vertical="center" wrapText="1"/>
    </x:xf>
    <x:xf numFmtId="0" fontId="20" fillId="93" borderId="0" xfId="0" applyNumberFormat="1" applyFont="1" applyFill="1" applyBorder="1" applyAlignment="1">
      <x:alignment vertical="center" wrapText="1"/>
    </x:xf>
    <x:xf numFmtId="0" fontId="27" fillId="85" borderId="0" xfId="0" applyNumberFormat="1" applyFont="1" applyFill="1" applyBorder="1" applyAlignment="1">
      <x:alignment vertical="top" wrapText="1"/>
    </x:xf>
    <x:xf numFmtId="0" fontId="27" fillId="94" borderId="0" xfId="0" applyNumberFormat="1" applyFont="1" applyFill="1" applyBorder="1" applyAlignment="1">
      <x:alignment vertical="center" wrapText="1"/>
    </x:xf>
    <x:xf numFmtId="0" fontId="25" fillId="93" borderId="0" xfId="0" applyNumberFormat="1" applyFont="1" applyFill="1" applyBorder="1" applyAlignment="1">
      <x:alignment vertical="top" wrapText="1"/>
    </x:xf>
    <x:xf numFmtId="0" fontId="27" fillId="93" borderId="0" xfId="0" applyNumberFormat="1" applyFont="1" applyFill="1" applyBorder="1" applyAlignment="1">
      <x:alignment vertical="top" wrapText="1"/>
    </x:xf>
    <x:xf numFmtId="0" fontId="30" fillId="85" borderId="0" xfId="0" applyNumberFormat="1" applyFont="1" applyFill="1" applyBorder="1" applyAlignment="1">
      <x:alignment vertical="top" wrapText="1"/>
    </x:xf>
    <x:xf numFmtId="0" fontId="26" fillId="85" borderId="0" xfId="0" applyNumberFormat="1" applyFont="1" applyFill="1" applyBorder="1" applyAlignment="1">
      <x:alignment vertical="center" wrapText="1"/>
    </x:xf>
    <x:xf numFmtId="0" fontId="27" fillId="96" borderId="0" xfId="0" applyNumberFormat="1" applyFont="1" applyFill="1" applyBorder="1" applyAlignment="1">
      <x:alignment vertical="top" wrapText="1"/>
    </x:xf>
    <x:xf numFmtId="0" fontId="26" fillId="96" borderId="0" xfId="0" applyNumberFormat="1" applyFont="1" applyFill="1" applyBorder="1" applyAlignment="1">
      <x:alignment vertical="top" wrapText="1"/>
    </x:xf>
    <x:xf numFmtId="0" fontId="26" fillId="96" borderId="0" xfId="0" applyNumberFormat="1" applyFont="1" applyFill="1" applyBorder="1" applyAlignment="1">
      <x:alignment vertical="center" wrapText="1"/>
    </x:xf>
    <x:xf numFmtId="0" fontId="20" fillId="97" borderId="1" xfId="0" applyNumberFormat="1" applyFont="1" applyFill="1" applyBorder="1" applyAlignment="1">
      <x:alignment horizontal="left" vertical="center" wrapText="1"/>
    </x:xf>
    <x:xf numFmtId="165" fontId="34" fillId="97" borderId="1" xfId="0" applyNumberFormat="1" applyFont="1" applyFill="1" applyBorder="1" applyAlignment="1">
      <x:alignment horizontal="left" vertical="center" wrapText="1"/>
    </x:xf>
    <x:xf numFmtId="166" fontId="34" fillId="97" borderId="1" xfId="0" applyNumberFormat="1" applyFont="1" applyFill="1" applyBorder="1" applyAlignment="1">
      <x:alignment horizontal="left" vertical="center" wrapText="1"/>
    </x:xf>
    <x:xf numFmtId="0" fontId="34" fillId="97" borderId="1" xfId="0" applyNumberFormat="1" applyFont="1" applyFill="1" applyBorder="1" applyAlignment="1">
      <x:alignment horizontal="left" vertical="center" wrapText="1"/>
    </x:xf>
    <x:xf numFmtId="0" fontId="34" fillId="97" borderId="0" xfId="0" applyNumberFormat="1" applyFont="1" applyFill="1" applyBorder="1" applyAlignment="1">
      <x:alignment horizontal="left" vertical="center" wrapText="1"/>
    </x:xf>
    <x:xf numFmtId="167" fontId="34" fillId="97" borderId="1" xfId="0" applyNumberFormat="1" applyFont="1" applyFill="1" applyBorder="1" applyAlignment="1">
      <x:alignment horizontal="left" vertical="center" wrapText="1"/>
    </x:xf>
    <x:xf numFmtId="168" fontId="34" fillId="97" borderId="1" xfId="0" applyNumberFormat="1" applyFont="1" applyFill="1" applyBorder="1" applyAlignment="1">
      <x:alignment horizontal="left" vertical="center" wrapText="1"/>
    </x:xf>
    <x:xf numFmtId="170" fontId="34" fillId="97" borderId="1" xfId="0" applyNumberFormat="1" applyFont="1" applyFill="1" applyBorder="1" applyAlignment="1">
      <x:alignment horizontal="left" vertical="center" wrapText="1"/>
    </x:xf>
    <x:xf numFmtId="0" fontId="35" fillId="97" borderId="6" xfId="0" applyNumberFormat="1" applyFont="1" applyFill="1" applyBorder="1" applyAlignment="1">
      <x:alignment horizontal="left" vertical="center" wrapText="1"/>
    </x:xf>
    <x:xf numFmtId="0" fontId="35" fillId="97" borderId="7" xfId="0" applyNumberFormat="1" applyFont="1" applyFill="1" applyBorder="1" applyAlignment="1">
      <x:alignment horizontal="left" vertical="center" wrapText="1"/>
    </x:xf>
    <x:xf numFmtId="0" fontId="35" fillId="97" borderId="8" xfId="0" applyNumberFormat="1" applyFont="1" applyFill="1" applyBorder="1" applyAlignment="1">
      <x:alignment horizontal="left" vertical="center" wrapText="1"/>
    </x:xf>
    <x:xf numFmtId="0" fontId="35" fillId="97" borderId="9" xfId="0" applyNumberFormat="1" applyFont="1" applyFill="1" applyBorder="1" applyAlignment="1">
      <x:alignment horizontal="left" vertical="center" wrapText="1"/>
    </x:xf>
    <x:xf numFmtId="0" fontId="35" fillId="97" borderId="0" xfId="0" applyNumberFormat="1" applyFont="1" applyFill="1" applyBorder="1" applyAlignment="1">
      <x:alignment horizontal="left" vertical="center" wrapText="1"/>
    </x:xf>
    <x:xf numFmtId="0" fontId="35" fillId="97" borderId="10" xfId="0" applyNumberFormat="1" applyFont="1" applyFill="1" applyBorder="1" applyAlignment="1">
      <x:alignment horizontal="left" vertical="center" wrapText="1"/>
    </x:xf>
    <x:xf numFmtId="0" fontId="35" fillId="97" borderId="11" xfId="0" applyNumberFormat="1" applyFont="1" applyFill="1" applyBorder="1" applyAlignment="1">
      <x:alignment horizontal="left" vertical="center" wrapText="1"/>
    </x:xf>
    <x:xf numFmtId="0" fontId="35" fillId="97" borderId="12" xfId="0" applyNumberFormat="1" applyFont="1" applyFill="1" applyBorder="1" applyAlignment="1">
      <x:alignment horizontal="left" vertical="center" wrapText="1"/>
    </x:xf>
    <x:xf numFmtId="0" fontId="35" fillId="97" borderId="13" xfId="0" applyNumberFormat="1" applyFont="1" applyFill="1" applyBorder="1" applyAlignment="1">
      <x:alignment horizontal="left" vertical="center" wrapText="1"/>
    </x:xf>
    <x:xf numFmtId="0" fontId="36" fillId="94" borderId="9" xfId="0" applyNumberFormat="1" applyFont="1" applyFill="1" applyBorder="1" applyAlignment="1">
      <x:alignment horizontal="left" vertical="center" wrapText="1"/>
    </x:xf>
    <x:xf numFmtId="0" fontId="36" fillId="94" borderId="0" xfId="0" applyNumberFormat="1" applyFont="1" applyFill="1" applyBorder="1" applyAlignment="1">
      <x:alignment horizontal="left" vertical="center" wrapText="1"/>
    </x:xf>
    <x:xf numFmtId="0" fontId="36" fillId="94" borderId="10" xfId="0" applyNumberFormat="1" applyFont="1" applyFill="1" applyBorder="1" applyAlignment="1">
      <x:alignment horizontal="left" vertical="center" wrapText="1"/>
    </x:xf>
    <x:xf numFmtId="0" fontId="36" fillId="94" borderId="11" xfId="0" applyNumberFormat="1" applyFont="1" applyFill="1" applyBorder="1" applyAlignment="1">
      <x:alignment horizontal="left" vertical="center" wrapText="1"/>
    </x:xf>
    <x:xf numFmtId="0" fontId="36" fillId="94" borderId="12" xfId="0" applyNumberFormat="1" applyFont="1" applyFill="1" applyBorder="1" applyAlignment="1">
      <x:alignment horizontal="left" vertical="center" wrapText="1"/>
    </x:xf>
    <x:xf numFmtId="0" fontId="36" fillId="94" borderId="13" xfId="0" applyNumberFormat="1" applyFont="1" applyFill="1" applyBorder="1" applyAlignment="1">
      <x:alignment horizontal="left" vertical="center" wrapText="1"/>
    </x:xf>
    <x:xf numFmtId="0" fontId="25" fillId="98" borderId="0" xfId="0" applyNumberFormat="1" applyFont="1" applyFill="1" applyBorder="1" applyAlignment="1">
      <x:alignment vertical="top" wrapText="1"/>
    </x:xf>
    <x:xf numFmtId="201" fontId="25" fillId="98" borderId="0" xfId="0" applyNumberFormat="1" applyFont="1" applyFill="1" applyBorder="1" applyAlignment="1">
      <x:alignment vertical="top" wrapText="1"/>
    </x:xf>
    <x:xf numFmtId="202" fontId="25" fillId="98" borderId="0" xfId="0" applyNumberFormat="1" applyFont="1" applyFill="1" applyBorder="1" applyAlignment="1">
      <x:alignment vertical="top" wrapText="1"/>
    </x:xf>
    <x:xf numFmtId="0" fontId="28" fillId="98" borderId="0" xfId="0" applyNumberFormat="1" applyFont="1" applyFill="1" applyBorder="1" applyAlignment="1">
      <x:alignment vertical="top" wrapText="1"/>
    </x:xf>
    <x:xf numFmtId="0" fontId="25" fillId="99" borderId="0" xfId="0" applyNumberFormat="1" applyFont="1" applyFill="1" applyBorder="1" applyAlignment="1">
      <x:alignment vertical="top" wrapText="1"/>
    </x:xf>
    <x:xf numFmtId="0" fontId="25" fillId="100" borderId="0" xfId="0" applyNumberFormat="1" applyFont="1" applyFill="1" applyBorder="1" applyAlignment="1">
      <x:alignment vertical="top" wrapText="1"/>
    </x:xf>
    <x:xf numFmtId="201" fontId="25" fillId="100" borderId="0" xfId="0" applyNumberFormat="1" applyFont="1" applyFill="1" applyBorder="1" applyAlignment="1">
      <x:alignment vertical="top" wrapText="1"/>
    </x:xf>
    <x:xf numFmtId="202" fontId="25" fillId="100" borderId="0" xfId="0" applyNumberFormat="1" applyFont="1" applyFill="1" applyBorder="1" applyAlignment="1">
      <x:alignment vertical="top" wrapText="1"/>
    </x:xf>
    <x:xf numFmtId="0" fontId="28" fillId="100" borderId="0" xfId="0" applyNumberFormat="1" applyFont="1" applyFill="1" applyBorder="1" applyAlignment="1">
      <x:alignment vertical="top" wrapText="1"/>
    </x:xf>
    <x:xf numFmtId="0" fontId="25" fillId="101" borderId="0" xfId="0" applyNumberFormat="1" applyFont="1" applyFill="1" applyBorder="1" applyAlignment="1">
      <x:alignment vertical="top" wrapText="1"/>
    </x:xf>
    <x:xf numFmtId="0" fontId="25" fillId="102" borderId="0" xfId="0" applyNumberFormat="1" applyFont="1" applyFill="1" applyBorder="1" applyAlignment="1">
      <x:alignment vertical="top" wrapText="1"/>
    </x:xf>
    <x:xf numFmtId="0" fontId="25" fillId="103" borderId="0" xfId="0" applyNumberFormat="1" applyFont="1" applyFill="1" applyBorder="1" applyAlignment="1">
      <x:alignment vertical="top" wrapText="1"/>
    </x:xf>
    <x:xf numFmtId="0" fontId="25" fillId="104" borderId="0" xfId="0" applyNumberFormat="1" applyFont="1" applyFill="1" applyBorder="1" applyAlignment="1">
      <x:alignment vertical="top" wrapText="1"/>
    </x:xf>
    <x:xf numFmtId="0" fontId="25" fillId="105" borderId="0" xfId="0" applyNumberFormat="1" applyFont="1" applyFill="1" applyBorder="1" applyAlignment="1">
      <x:alignment vertical="top" wrapText="1"/>
    </x:xf>
    <x:xf numFmtId="202" fontId="20" fillId="98" borderId="0" xfId="0" applyNumberFormat="1" applyFont="1" applyFill="1" applyBorder="1" applyAlignment="1">
      <x:alignment vertical="center" wrapText="1"/>
    </x:xf>
    <x:xf numFmtId="0" fontId="27" fillId="106" borderId="0" xfId="0" applyNumberFormat="1" applyFont="1" applyFill="1" applyBorder="1" applyAlignment="1">
      <x:alignment vertical="center" wrapText="1"/>
    </x:xf>
    <x:xf numFmtId="0" fontId="20" fillId="98" borderId="0" xfId="0" applyNumberFormat="1" applyFont="1" applyFill="1" applyBorder="1" applyAlignment="1">
      <x:alignment vertical="center" wrapText="1"/>
    </x:xf>
    <x:xf numFmtId="203" fontId="20" fillId="98" borderId="0" xfId="0" applyNumberFormat="1" applyFont="1" applyFill="1" applyBorder="1" applyAlignment="1">
      <x:alignment vertical="center" wrapText="1"/>
    </x:xf>
    <x:xf numFmtId="0" fontId="27" fillId="98" borderId="0" xfId="0" applyNumberFormat="1" applyFont="1" applyFill="1" applyBorder="1" applyAlignment="1">
      <x:alignment vertical="center" wrapText="1"/>
    </x:xf>
    <x:xf numFmtId="0" fontId="0" fillId="98" borderId="0" xfId="0" applyNumberFormat="1" applyFont="1" applyFill="1" applyBorder="1"/>
    <x:xf numFmtId="203" fontId="25" fillId="98" borderId="0" xfId="0" applyNumberFormat="1" applyFont="1" applyFill="1" applyBorder="1" applyAlignment="1">
      <x:alignment vertical="top" wrapText="1"/>
    </x:xf>
    <x:xf numFmtId="0" fontId="29" fillId="98" borderId="0" xfId="0" applyNumberFormat="1" applyFont="1" applyFill="1" applyBorder="1" applyAlignment="1">
      <x:alignment vertical="center" wrapText="1"/>
    </x:xf>
    <x:xf numFmtId="0" fontId="30" fillId="98" borderId="0" xfId="0" applyNumberFormat="1" applyFont="1" applyFill="1" applyBorder="1" applyAlignment="1">
      <x:alignment vertical="center" wrapText="1"/>
    </x:xf>
    <x:xf numFmtId="0" fontId="27" fillId="6" borderId="0" xfId="0" applyNumberFormat="1" applyFont="1" applyFill="1" applyBorder="1" applyAlignment="1">
      <x:alignment vertical="center" wrapText="1"/>
    </x:xf>
    <x:xf numFmtId="203" fontId="27" fillId="6" borderId="0" xfId="0" applyNumberFormat="1" applyFont="1" applyFill="1" applyBorder="1" applyAlignment="1">
      <x:alignment vertical="center" wrapText="1"/>
    </x:xf>
    <x:xf numFmtId="0" fontId="25" fillId="6" borderId="0" xfId="0" applyNumberFormat="1" applyFont="1" applyFill="1" applyBorder="1"/>
    <x:xf numFmtId="0" fontId="25" fillId="6" borderId="0" xfId="0" applyNumberFormat="1" applyFont="1" applyFill="1" applyBorder="1" applyAlignment="1">
      <x:alignment wrapText="1"/>
    </x:xf>
    <x:xf numFmtId="0" fontId="27" fillId="6" borderId="0" xfId="0" applyNumberFormat="1" applyFont="1" applyFill="1" applyBorder="1" applyAlignment="1">
      <x:alignment vertical="top" wrapText="1"/>
    </x:xf>
    <x:xf numFmtId="203" fontId="27" fillId="6" borderId="0" xfId="0" applyNumberFormat="1" applyFont="1" applyFill="1" applyBorder="1" applyAlignment="1">
      <x:alignment vertical="top" wrapText="1"/>
    </x:xf>
    <x:xf numFmtId="0" fontId="27" fillId="107" borderId="0" xfId="0" applyNumberFormat="1" applyFont="1" applyFill="1" applyBorder="1" applyAlignment="1">
      <x:alignment vertical="top" wrapText="1"/>
    </x:xf>
    <x:xf numFmtId="202" fontId="27" fillId="107" borderId="0" xfId="0" applyNumberFormat="1" applyFont="1" applyFill="1" applyBorder="1" applyAlignment="1">
      <x:alignment vertical="top" wrapText="1"/>
    </x:xf>
    <x:xf numFmtId="0" fontId="20" fillId="107" borderId="0" xfId="0" applyNumberFormat="1" applyFont="1" applyFill="1" applyBorder="1" applyAlignment="1">
      <x:alignment vertical="top" wrapText="1"/>
    </x:xf>
    <x:xf numFmtId="202" fontId="20" fillId="107" borderId="0" xfId="0" applyNumberFormat="1" applyFont="1" applyFill="1" applyBorder="1" applyAlignment="1">
      <x:alignment vertical="top" wrapText="1"/>
    </x:xf>
    <x:xf numFmtId="0" fontId="20" fillId="107" borderId="0" xfId="0" applyNumberFormat="1" applyFont="1" applyFill="1" applyBorder="1" applyAlignment="1">
      <x:alignment vertical="center" wrapText="1"/>
    </x:xf>
    <x:xf numFmtId="202" fontId="20" fillId="107" borderId="0" xfId="0" applyNumberFormat="1" applyFont="1" applyFill="1" applyBorder="1" applyAlignment="1">
      <x:alignment vertical="center" wrapText="1"/>
    </x:xf>
    <x:xf numFmtId="203" fontId="25" fillId="100" borderId="0" xfId="0" applyNumberFormat="1" applyFont="1" applyFill="1" applyBorder="1" applyAlignment="1">
      <x:alignment vertical="top" wrapText="1"/>
    </x:xf>
    <x:xf numFmtId="0" fontId="27" fillId="98" borderId="0" xfId="0" applyNumberFormat="1" applyFont="1" applyFill="1" applyBorder="1" applyAlignment="1">
      <x:alignment vertical="top" wrapText="1"/>
    </x:xf>
    <x:xf numFmtId="203" fontId="27" fillId="98" borderId="0" xfId="0" applyNumberFormat="1" applyFont="1" applyFill="1" applyBorder="1" applyAlignment="1">
      <x:alignment vertical="top" wrapText="1"/>
    </x:xf>
    <x:xf numFmtId="0" fontId="25" fillId="108" borderId="0" xfId="0" applyNumberFormat="1" applyFont="1" applyFill="1" applyBorder="1" applyAlignment="1">
      <x:alignment vertical="top" wrapText="1"/>
    </x:xf>
    <x:xf numFmtId="0" fontId="27" fillId="107" borderId="0" xfId="0" applyNumberFormat="1" applyFont="1" applyFill="1" applyBorder="1" applyAlignment="1">
      <x:alignment vertical="center" wrapText="1"/>
    </x:xf>
    <x:xf numFmtId="203" fontId="25" fillId="107" borderId="0" xfId="0" applyNumberFormat="1" applyFont="1" applyFill="1" applyBorder="1" applyAlignment="1">
      <x:alignment vertical="top" wrapText="1"/>
    </x:xf>
    <x:xf numFmtId="203" fontId="20" fillId="107" borderId="0" xfId="0" applyNumberFormat="1" applyFont="1" applyFill="1" applyBorder="1" applyAlignment="1">
      <x:alignment vertical="top" wrapText="1"/>
    </x:xf>
    <x:xf numFmtId="203" fontId="20" fillId="107" borderId="0" xfId="0" applyNumberFormat="1" applyFont="1" applyFill="1" applyBorder="1" applyAlignment="1">
      <x:alignment vertical="center" wrapText="1"/>
    </x:xf>
    <x:xf numFmtId="0" fontId="25" fillId="106" borderId="0" xfId="0" applyNumberFormat="1" applyFont="1" applyFill="1" applyBorder="1" applyAlignment="1">
      <x:alignment vertical="top" wrapText="1"/>
    </x:xf>
    <x:xf numFmtId="0" fontId="27" fillId="106" borderId="0" xfId="0" applyNumberFormat="1" applyFont="1" applyFill="1" applyBorder="1" applyAlignment="1">
      <x:alignment vertical="top" wrapText="1"/>
    </x:xf>
    <x:xf numFmtId="0" fontId="30" fillId="98" borderId="0" xfId="0" applyNumberFormat="1" applyFont="1" applyFill="1" applyBorder="1" applyAlignment="1">
      <x:alignment vertical="top" wrapText="1"/>
    </x:xf>
    <x:xf numFmtId="0" fontId="26" fillId="98" borderId="0" xfId="0" applyNumberFormat="1" applyFont="1" applyFill="1" applyBorder="1" applyAlignment="1">
      <x:alignment vertical="center" wrapText="1"/>
    </x:xf>
    <x:xf numFmtId="0" fontId="27" fillId="109" borderId="0" xfId="0" applyNumberFormat="1" applyFont="1" applyFill="1" applyBorder="1" applyAlignment="1">
      <x:alignment vertical="top" wrapText="1"/>
    </x:xf>
    <x:xf numFmtId="0" fontId="26" fillId="109" borderId="0" xfId="0" applyNumberFormat="1" applyFont="1" applyFill="1" applyBorder="1" applyAlignment="1">
      <x:alignment vertical="top" wrapText="1"/>
    </x:xf>
    <x:xf numFmtId="0" fontId="26" fillId="109" borderId="0" xfId="0" applyNumberFormat="1" applyFont="1" applyFill="1" applyBorder="1" applyAlignment="1">
      <x:alignment vertical="center" wrapText="1"/>
    </x:xf>
    <x:xf numFmtId="0" fontId="20" fillId="110" borderId="1" xfId="0" applyNumberFormat="1" applyFont="1" applyFill="1" applyBorder="1" applyAlignment="1">
      <x:alignment horizontal="left" vertical="center" wrapText="1"/>
    </x:xf>
    <x:xf numFmtId="165" fontId="34" fillId="110" borderId="1" xfId="0" applyNumberFormat="1" applyFont="1" applyFill="1" applyBorder="1" applyAlignment="1">
      <x:alignment horizontal="left" vertical="center" wrapText="1"/>
    </x:xf>
    <x:xf numFmtId="166" fontId="34" fillId="110" borderId="1" xfId="0" applyNumberFormat="1" applyFont="1" applyFill="1" applyBorder="1" applyAlignment="1">
      <x:alignment horizontal="left" vertical="center" wrapText="1"/>
    </x:xf>
    <x:xf numFmtId="0" fontId="34" fillId="110" borderId="1" xfId="0" applyNumberFormat="1" applyFont="1" applyFill="1" applyBorder="1" applyAlignment="1">
      <x:alignment horizontal="left" vertical="center" wrapText="1"/>
    </x:xf>
    <x:xf numFmtId="0" fontId="34" fillId="110" borderId="0" xfId="0" applyNumberFormat="1" applyFont="1" applyFill="1" applyBorder="1" applyAlignment="1">
      <x:alignment horizontal="left" vertical="center" wrapText="1"/>
    </x:xf>
    <x:xf numFmtId="167" fontId="34" fillId="110" borderId="1" xfId="0" applyNumberFormat="1" applyFont="1" applyFill="1" applyBorder="1" applyAlignment="1">
      <x:alignment horizontal="left" vertical="center" wrapText="1"/>
    </x:xf>
    <x:xf numFmtId="168" fontId="34" fillId="110" borderId="1" xfId="0" applyNumberFormat="1" applyFont="1" applyFill="1" applyBorder="1" applyAlignment="1">
      <x:alignment horizontal="left" vertical="center" wrapText="1"/>
    </x:xf>
    <x:xf numFmtId="170" fontId="34" fillId="110" borderId="1" xfId="0" applyNumberFormat="1" applyFont="1" applyFill="1" applyBorder="1" applyAlignment="1">
      <x:alignment horizontal="left" vertical="center" wrapText="1"/>
    </x:xf>
    <x:xf numFmtId="0" fontId="35" fillId="110" borderId="6" xfId="0" applyNumberFormat="1" applyFont="1" applyFill="1" applyBorder="1" applyAlignment="1">
      <x:alignment horizontal="left" vertical="center" wrapText="1"/>
    </x:xf>
    <x:xf numFmtId="0" fontId="35" fillId="110" borderId="7" xfId="0" applyNumberFormat="1" applyFont="1" applyFill="1" applyBorder="1" applyAlignment="1">
      <x:alignment horizontal="left" vertical="center" wrapText="1"/>
    </x:xf>
    <x:xf numFmtId="0" fontId="35" fillId="110" borderId="8" xfId="0" applyNumberFormat="1" applyFont="1" applyFill="1" applyBorder="1" applyAlignment="1">
      <x:alignment horizontal="left" vertical="center" wrapText="1"/>
    </x:xf>
    <x:xf numFmtId="0" fontId="35" fillId="110" borderId="9" xfId="0" applyNumberFormat="1" applyFont="1" applyFill="1" applyBorder="1" applyAlignment="1">
      <x:alignment horizontal="left" vertical="center" wrapText="1"/>
    </x:xf>
    <x:xf numFmtId="0" fontId="35" fillId="110" borderId="0" xfId="0" applyNumberFormat="1" applyFont="1" applyFill="1" applyBorder="1" applyAlignment="1">
      <x:alignment horizontal="left" vertical="center" wrapText="1"/>
    </x:xf>
    <x:xf numFmtId="0" fontId="35" fillId="110" borderId="10" xfId="0" applyNumberFormat="1" applyFont="1" applyFill="1" applyBorder="1" applyAlignment="1">
      <x:alignment horizontal="left" vertical="center" wrapText="1"/>
    </x:xf>
    <x:xf numFmtId="0" fontId="35" fillId="110" borderId="11" xfId="0" applyNumberFormat="1" applyFont="1" applyFill="1" applyBorder="1" applyAlignment="1">
      <x:alignment horizontal="left" vertical="center" wrapText="1"/>
    </x:xf>
    <x:xf numFmtId="0" fontId="35" fillId="110" borderId="12" xfId="0" applyNumberFormat="1" applyFont="1" applyFill="1" applyBorder="1" applyAlignment="1">
      <x:alignment horizontal="left" vertical="center" wrapText="1"/>
    </x:xf>
    <x:xf numFmtId="0" fontId="35" fillId="110" borderId="13" xfId="0" applyNumberFormat="1" applyFont="1" applyFill="1" applyBorder="1" applyAlignment="1">
      <x:alignment horizontal="left" vertical="center" wrapText="1"/>
    </x:xf>
    <x:xf numFmtId="0" fontId="36" fillId="107" borderId="9" xfId="0" applyNumberFormat="1" applyFont="1" applyFill="1" applyBorder="1" applyAlignment="1">
      <x:alignment horizontal="left" vertical="center" wrapText="1"/>
    </x:xf>
    <x:xf numFmtId="0" fontId="36" fillId="107" borderId="0" xfId="0" applyNumberFormat="1" applyFont="1" applyFill="1" applyBorder="1" applyAlignment="1">
      <x:alignment horizontal="left" vertical="center" wrapText="1"/>
    </x:xf>
    <x:xf numFmtId="0" fontId="36" fillId="107" borderId="10" xfId="0" applyNumberFormat="1" applyFont="1" applyFill="1" applyBorder="1" applyAlignment="1">
      <x:alignment horizontal="left" vertical="center" wrapText="1"/>
    </x:xf>
    <x:xf numFmtId="0" fontId="36" fillId="107" borderId="11" xfId="0" applyNumberFormat="1" applyFont="1" applyFill="1" applyBorder="1" applyAlignment="1">
      <x:alignment horizontal="left" vertical="center" wrapText="1"/>
    </x:xf>
    <x:xf numFmtId="0" fontId="36" fillId="107" borderId="12" xfId="0" applyNumberFormat="1" applyFont="1" applyFill="1" applyBorder="1" applyAlignment="1">
      <x:alignment horizontal="left" vertical="center" wrapText="1"/>
    </x:xf>
    <x:xf numFmtId="0" fontId="36" fillId="107" borderId="13" xfId="0" applyNumberFormat="1" applyFont="1" applyFill="1" applyBorder="1" applyAlignment="1">
      <x:alignment horizontal="left" vertical="center" wrapText="1"/>
    </x:xf>
    <x:xf numFmtId="0" fontId="25" fillId="111" borderId="0" xfId="0" applyNumberFormat="1" applyFont="1" applyFill="1" applyBorder="1" applyAlignment="1">
      <x:alignment vertical="top" wrapText="1"/>
    </x:xf>
    <x:xf numFmtId="201" fontId="25" fillId="111" borderId="0" xfId="0" applyNumberFormat="1" applyFont="1" applyFill="1" applyBorder="1" applyAlignment="1">
      <x:alignment vertical="top" wrapText="1"/>
    </x:xf>
    <x:xf numFmtId="202" fontId="25" fillId="111" borderId="0" xfId="0" applyNumberFormat="1" applyFont="1" applyFill="1" applyBorder="1" applyAlignment="1">
      <x:alignment vertical="top" wrapText="1"/>
    </x:xf>
    <x:xf numFmtId="0" fontId="28" fillId="111" borderId="0" xfId="0" applyNumberFormat="1" applyFont="1" applyFill="1" applyBorder="1" applyAlignment="1">
      <x:alignment vertical="top" wrapText="1"/>
    </x:xf>
    <x:xf numFmtId="0" fontId="25" fillId="112" borderId="0" xfId="0" applyNumberFormat="1" applyFont="1" applyFill="1" applyBorder="1" applyAlignment="1">
      <x:alignment vertical="top" wrapText="1"/>
    </x:xf>
    <x:xf numFmtId="0" fontId="25" fillId="113" borderId="0" xfId="0" applyNumberFormat="1" applyFont="1" applyFill="1" applyBorder="1" applyAlignment="1">
      <x:alignment vertical="top" wrapText="1"/>
    </x:xf>
    <x:xf numFmtId="201" fontId="25" fillId="113" borderId="0" xfId="0" applyNumberFormat="1" applyFont="1" applyFill="1" applyBorder="1" applyAlignment="1">
      <x:alignment vertical="top" wrapText="1"/>
    </x:xf>
    <x:xf numFmtId="202" fontId="25" fillId="113" borderId="0" xfId="0" applyNumberFormat="1" applyFont="1" applyFill="1" applyBorder="1" applyAlignment="1">
      <x:alignment vertical="top" wrapText="1"/>
    </x:xf>
    <x:xf numFmtId="0" fontId="28" fillId="113" borderId="0" xfId="0" applyNumberFormat="1" applyFont="1" applyFill="1" applyBorder="1" applyAlignment="1">
      <x:alignment vertical="top" wrapText="1"/>
    </x:xf>
    <x:xf numFmtId="0" fontId="25" fillId="114" borderId="0" xfId="0" applyNumberFormat="1" applyFont="1" applyFill="1" applyBorder="1" applyAlignment="1">
      <x:alignment vertical="top" wrapText="1"/>
    </x:xf>
    <x:xf numFmtId="0" fontId="25" fillId="115" borderId="0" xfId="0" applyNumberFormat="1" applyFont="1" applyFill="1" applyBorder="1" applyAlignment="1">
      <x:alignment vertical="top" wrapText="1"/>
    </x:xf>
    <x:xf numFmtId="0" fontId="25" fillId="116" borderId="0" xfId="0" applyNumberFormat="1" applyFont="1" applyFill="1" applyBorder="1" applyAlignment="1">
      <x:alignment vertical="top" wrapText="1"/>
    </x:xf>
    <x:xf numFmtId="0" fontId="25" fillId="117" borderId="0" xfId="0" applyNumberFormat="1" applyFont="1" applyFill="1" applyBorder="1" applyAlignment="1">
      <x:alignment vertical="top" wrapText="1"/>
    </x:xf>
    <x:xf numFmtId="0" fontId="25" fillId="118" borderId="0" xfId="0" applyNumberFormat="1" applyFont="1" applyFill="1" applyBorder="1" applyAlignment="1">
      <x:alignment vertical="top" wrapText="1"/>
    </x:xf>
    <x:xf numFmtId="202" fontId="20" fillId="111" borderId="0" xfId="0" applyNumberFormat="1" applyFont="1" applyFill="1" applyBorder="1" applyAlignment="1">
      <x:alignment vertical="center" wrapText="1"/>
    </x:xf>
    <x:xf numFmtId="0" fontId="27" fillId="119" borderId="0" xfId="0" applyNumberFormat="1" applyFont="1" applyFill="1" applyBorder="1" applyAlignment="1">
      <x:alignment vertical="center" wrapText="1"/>
    </x:xf>
    <x:xf numFmtId="0" fontId="20" fillId="111" borderId="0" xfId="0" applyNumberFormat="1" applyFont="1" applyFill="1" applyBorder="1" applyAlignment="1">
      <x:alignment vertical="center" wrapText="1"/>
    </x:xf>
    <x:xf numFmtId="203" fontId="20" fillId="111" borderId="0" xfId="0" applyNumberFormat="1" applyFont="1" applyFill="1" applyBorder="1" applyAlignment="1">
      <x:alignment vertical="center" wrapText="1"/>
    </x:xf>
    <x:xf numFmtId="0" fontId="27" fillId="111" borderId="0" xfId="0" applyNumberFormat="1" applyFont="1" applyFill="1" applyBorder="1" applyAlignment="1">
      <x:alignment vertical="center" wrapText="1"/>
    </x:xf>
    <x:xf numFmtId="0" fontId="0" fillId="111" borderId="0" xfId="0" applyNumberFormat="1" applyFont="1" applyFill="1" applyBorder="1"/>
    <x:xf numFmtId="203" fontId="25" fillId="111" borderId="0" xfId="0" applyNumberFormat="1" applyFont="1" applyFill="1" applyBorder="1" applyAlignment="1">
      <x:alignment vertical="top" wrapText="1"/>
    </x:xf>
    <x:xf numFmtId="0" fontId="29" fillId="111" borderId="0" xfId="0" applyNumberFormat="1" applyFont="1" applyFill="1" applyBorder="1" applyAlignment="1">
      <x:alignment vertical="center" wrapText="1"/>
    </x:xf>
    <x:xf numFmtId="0" fontId="30" fillId="111" borderId="0" xfId="0" applyNumberFormat="1" applyFont="1" applyFill="1" applyBorder="1" applyAlignment="1">
      <x:alignment vertical="center" wrapText="1"/>
    </x:xf>
    <x:xf numFmtId="0" fontId="37" fillId="16" borderId="0" xfId="0" applyNumberFormat="1" applyFont="1" applyFill="1" applyBorder="1" applyAlignment="1">
      <x:alignment vertical="center" wrapText="1"/>
    </x:xf>
    <x:xf numFmtId="202" fontId="37" fillId="6" borderId="0" xfId="0" applyNumberFormat="1" applyFont="1" applyFill="1" applyBorder="1" applyAlignment="1">
      <x:alignment vertical="center" wrapText="1"/>
    </x:xf>
    <x:xf numFmtId="0" fontId="37" fillId="6" borderId="0" xfId="0" applyNumberFormat="1" applyFont="1" applyFill="1" applyBorder="1" applyAlignment="1">
      <x:alignment vertical="top" wrapText="1"/>
    </x:xf>
    <x:xf numFmtId="203" fontId="37" fillId="6" borderId="0" xfId="0" applyNumberFormat="1" applyFont="1" applyFill="1" applyBorder="1" applyAlignment="1">
      <x:alignment vertical="top" wrapText="1"/>
    </x:xf>
    <x:xf numFmtId="202" fontId="37" fillId="6" borderId="0" xfId="0" applyNumberFormat="1" applyFont="1" applyFill="1" applyBorder="1" applyAlignment="1">
      <x:alignment vertical="top" wrapText="1"/>
    </x:xf>
    <x:xf numFmtId="0" fontId="37" fillId="30" borderId="0" xfId="0" applyNumberFormat="1" applyFont="1" applyFill="1" applyBorder="1" applyAlignment="1">
      <x:alignment vertical="top" wrapText="1"/>
    </x:xf>
    <x:xf numFmtId="0" fontId="37" fillId="18" borderId="0" xfId="0" applyNumberFormat="1" applyFont="1" applyFill="1" applyBorder="1" applyAlignment="1">
      <x:alignment vertical="top" wrapText="1"/>
    </x:xf>
    <x:xf numFmtId="0" fontId="37" fillId="17" borderId="0" xfId="0" applyNumberFormat="1" applyFont="1" applyFill="1" applyBorder="1" applyAlignment="1">
      <x:alignment vertical="top" wrapText="1"/>
    </x:xf>
    <x:xf numFmtId="203" fontId="37" fillId="17" borderId="0" xfId="0" applyNumberFormat="1" applyFont="1" applyFill="1" applyBorder="1" applyAlignment="1">
      <x:alignment vertical="top" wrapText="1"/>
    </x:xf>
    <x:xf numFmtId="0" fontId="37" fillId="16" borderId="0" xfId="0" applyNumberFormat="1" applyFont="1" applyFill="1" applyBorder="1" applyAlignment="1">
      <x:alignment vertical="top" wrapText="1"/>
    </x:xf>
    <x:xf numFmtId="0" fontId="37" fillId="120" borderId="0" xfId="0" applyNumberFormat="1" applyFont="1" applyFill="1" applyBorder="1" applyAlignment="1">
      <x:alignment vertical="top" wrapText="1"/>
    </x:xf>
    <x:xf numFmtId="202" fontId="37" fillId="120" borderId="0" xfId="0" applyNumberFormat="1" applyFont="1" applyFill="1" applyBorder="1" applyAlignment="1">
      <x:alignment vertical="top" wrapText="1"/>
    </x:xf>
    <x:xf numFmtId="0" fontId="20" fillId="120" borderId="0" xfId="0" applyNumberFormat="1" applyFont="1" applyFill="1" applyBorder="1" applyAlignment="1">
      <x:alignment vertical="top" wrapText="1"/>
    </x:xf>
    <x:xf numFmtId="202" fontId="20" fillId="120" borderId="0" xfId="0" applyNumberFormat="1" applyFont="1" applyFill="1" applyBorder="1" applyAlignment="1">
      <x:alignment vertical="top" wrapText="1"/>
    </x:xf>
    <x:xf numFmtId="0" fontId="20" fillId="120" borderId="0" xfId="0" applyNumberFormat="1" applyFont="1" applyFill="1" applyBorder="1" applyAlignment="1">
      <x:alignment vertical="center" wrapText="1"/>
    </x:xf>
    <x:xf numFmtId="202" fontId="20" fillId="120" borderId="0" xfId="0" applyNumberFormat="1" applyFont="1" applyFill="1" applyBorder="1" applyAlignment="1">
      <x:alignment vertical="center" wrapText="1"/>
    </x:xf>
    <x:xf numFmtId="0" fontId="37" fillId="111" borderId="0" xfId="0" applyNumberFormat="1" applyFont="1" applyFill="1" applyBorder="1" applyAlignment="1">
      <x:alignment vertical="top" wrapText="1"/>
    </x:xf>
    <x:xf numFmtId="203" fontId="37" fillId="111" borderId="0" xfId="0" applyNumberFormat="1" applyFont="1" applyFill="1" applyBorder="1" applyAlignment="1">
      <x:alignment vertical="top" wrapText="1"/>
    </x:xf>
    <x:xf numFmtId="202" fontId="37" fillId="111" borderId="0" xfId="0" applyNumberFormat="1" applyFont="1" applyFill="1" applyBorder="1" applyAlignment="1">
      <x:alignment vertical="top" wrapText="1"/>
    </x:xf>
    <x:xf numFmtId="0" fontId="37" fillId="113" borderId="0" xfId="0" applyNumberFormat="1" applyFont="1" applyFill="1" applyBorder="1" applyAlignment="1">
      <x:alignment vertical="top" wrapText="1"/>
    </x:xf>
    <x:xf numFmtId="203" fontId="37" fillId="113" borderId="0" xfId="0" applyNumberFormat="1" applyFont="1" applyFill="1" applyBorder="1" applyAlignment="1">
      <x:alignment vertical="top" wrapText="1"/>
    </x:xf>
    <x:xf numFmtId="202" fontId="37" fillId="113" borderId="0" xfId="0" applyNumberFormat="1" applyFont="1" applyFill="1" applyBorder="1" applyAlignment="1">
      <x:alignment vertical="top" wrapText="1"/>
    </x:xf>
    <x:xf numFmtId="0" fontId="38" fillId="111" borderId="0" xfId="0" applyNumberFormat="1" applyFont="1" applyFill="1" applyBorder="1" applyAlignment="1">
      <x:alignment vertical="top" wrapText="1"/>
    </x:xf>
    <x:xf numFmtId="0" fontId="38" fillId="113" borderId="0" xfId="0" applyNumberFormat="1" applyFont="1" applyFill="1" applyBorder="1" applyAlignment="1">
      <x:alignment vertical="top" wrapText="1"/>
    </x:xf>
    <x:xf numFmtId="0" fontId="37" fillId="121" borderId="0" xfId="0" applyNumberFormat="1" applyFont="1" applyFill="1" applyBorder="1" applyAlignment="1">
      <x:alignment vertical="top" wrapText="1"/>
    </x:xf>
    <x:xf numFmtId="0" fontId="37" fillId="118" borderId="0" xfId="0" applyNumberFormat="1" applyFont="1" applyFill="1" applyBorder="1" applyAlignment="1">
      <x:alignment vertical="top" wrapText="1"/>
    </x:xf>
    <x:xf numFmtId="203" fontId="20" fillId="120" borderId="0" xfId="0" applyNumberFormat="1" applyFont="1" applyFill="1" applyBorder="1" applyAlignment="1">
      <x:alignment vertical="center" wrapText="1"/>
    </x:xf>
    <x:xf numFmtId="0" fontId="26" fillId="111" borderId="0" xfId="0" applyNumberFormat="1" applyFont="1" applyFill="1" applyBorder="1" applyAlignment="1">
      <x:alignment vertical="center" wrapText="1"/>
    </x:xf>
    <x:xf numFmtId="0" fontId="27" fillId="111" borderId="0" xfId="0" applyNumberFormat="1" applyFont="1" applyFill="1" applyBorder="1" applyAlignment="1">
      <x:alignment vertical="top" wrapText="1"/>
    </x:xf>
    <x:xf numFmtId="0" fontId="27" fillId="122" borderId="0" xfId="0" applyNumberFormat="1" applyFont="1" applyFill="1" applyBorder="1" applyAlignment="1">
      <x:alignment vertical="top" wrapText="1"/>
    </x:xf>
    <x:xf numFmtId="0" fontId="26" fillId="122" borderId="0" xfId="0" applyNumberFormat="1" applyFont="1" applyFill="1" applyBorder="1" applyAlignment="1">
      <x:alignment vertical="top" wrapText="1"/>
    </x:xf>
    <x:xf numFmtId="0" fontId="26" fillId="122" borderId="0" xfId="0" applyNumberFormat="1" applyFont="1" applyFill="1" applyBorder="1" applyAlignment="1">
      <x:alignment vertical="center" wrapText="1"/>
    </x:xf>
    <x:xf numFmtId="0" fontId="27" fillId="119" borderId="0" xfId="0" applyNumberFormat="1" applyFont="1" applyFill="1" applyBorder="1" applyAlignment="1">
      <x:alignment vertical="top" wrapText="1"/>
    </x:xf>
    <x:xf numFmtId="0" fontId="27" fillId="120" borderId="0" xfId="0" applyNumberFormat="1" applyFont="1" applyFill="1" applyBorder="1" applyAlignment="1">
      <x:alignment vertical="top" wrapText="1"/>
    </x:xf>
    <x:xf numFmtId="0" fontId="20" fillId="123" borderId="1" xfId="0" applyNumberFormat="1" applyFont="1" applyFill="1" applyBorder="1" applyAlignment="1">
      <x:alignment horizontal="left" vertical="center" wrapText="1"/>
    </x:xf>
    <x:xf numFmtId="165" fontId="34" fillId="123" borderId="1" xfId="0" applyNumberFormat="1" applyFont="1" applyFill="1" applyBorder="1" applyAlignment="1">
      <x:alignment horizontal="left" vertical="center" wrapText="1"/>
    </x:xf>
    <x:xf numFmtId="166" fontId="34" fillId="123" borderId="1" xfId="0" applyNumberFormat="1" applyFont="1" applyFill="1" applyBorder="1" applyAlignment="1">
      <x:alignment horizontal="left" vertical="center" wrapText="1"/>
    </x:xf>
    <x:xf numFmtId="0" fontId="34" fillId="123" borderId="1" xfId="0" applyNumberFormat="1" applyFont="1" applyFill="1" applyBorder="1" applyAlignment="1">
      <x:alignment horizontal="left" vertical="center" wrapText="1"/>
    </x:xf>
    <x:xf numFmtId="0" fontId="34" fillId="123" borderId="0" xfId="0" applyNumberFormat="1" applyFont="1" applyFill="1" applyBorder="1" applyAlignment="1">
      <x:alignment horizontal="left" vertical="center" wrapText="1"/>
    </x:xf>
    <x:xf numFmtId="167" fontId="34" fillId="123" borderId="1" xfId="0" applyNumberFormat="1" applyFont="1" applyFill="1" applyBorder="1" applyAlignment="1">
      <x:alignment horizontal="left" vertical="center" wrapText="1"/>
    </x:xf>
    <x:xf numFmtId="168" fontId="34" fillId="123" borderId="1" xfId="0" applyNumberFormat="1" applyFont="1" applyFill="1" applyBorder="1" applyAlignment="1">
      <x:alignment horizontal="left" vertical="center" wrapText="1"/>
    </x:xf>
    <x:xf numFmtId="170" fontId="34" fillId="123" borderId="1" xfId="0" applyNumberFormat="1" applyFont="1" applyFill="1" applyBorder="1" applyAlignment="1">
      <x:alignment horizontal="left" vertical="center" wrapText="1"/>
    </x:xf>
    <x:xf numFmtId="0" fontId="35" fillId="123" borderId="6" xfId="0" applyNumberFormat="1" applyFont="1" applyFill="1" applyBorder="1" applyAlignment="1">
      <x:alignment horizontal="left" vertical="center" wrapText="1"/>
    </x:xf>
    <x:xf numFmtId="0" fontId="35" fillId="123" borderId="7" xfId="0" applyNumberFormat="1" applyFont="1" applyFill="1" applyBorder="1" applyAlignment="1">
      <x:alignment horizontal="left" vertical="center" wrapText="1"/>
    </x:xf>
    <x:xf numFmtId="0" fontId="35" fillId="123" borderId="8" xfId="0" applyNumberFormat="1" applyFont="1" applyFill="1" applyBorder="1" applyAlignment="1">
      <x:alignment horizontal="left" vertical="center" wrapText="1"/>
    </x:xf>
    <x:xf numFmtId="0" fontId="35" fillId="123" borderId="9" xfId="0" applyNumberFormat="1" applyFont="1" applyFill="1" applyBorder="1" applyAlignment="1">
      <x:alignment horizontal="left" vertical="center" wrapText="1"/>
    </x:xf>
    <x:xf numFmtId="0" fontId="35" fillId="123" borderId="0" xfId="0" applyNumberFormat="1" applyFont="1" applyFill="1" applyBorder="1" applyAlignment="1">
      <x:alignment horizontal="left" vertical="center" wrapText="1"/>
    </x:xf>
    <x:xf numFmtId="0" fontId="35" fillId="123" borderId="10" xfId="0" applyNumberFormat="1" applyFont="1" applyFill="1" applyBorder="1" applyAlignment="1">
      <x:alignment horizontal="left" vertical="center" wrapText="1"/>
    </x:xf>
    <x:xf numFmtId="0" fontId="35" fillId="123" borderId="11" xfId="0" applyNumberFormat="1" applyFont="1" applyFill="1" applyBorder="1" applyAlignment="1">
      <x:alignment horizontal="left" vertical="center" wrapText="1"/>
    </x:xf>
    <x:xf numFmtId="0" fontId="35" fillId="123" borderId="12" xfId="0" applyNumberFormat="1" applyFont="1" applyFill="1" applyBorder="1" applyAlignment="1">
      <x:alignment horizontal="left" vertical="center" wrapText="1"/>
    </x:xf>
    <x:xf numFmtId="0" fontId="35" fillId="123" borderId="13" xfId="0" applyNumberFormat="1" applyFont="1" applyFill="1" applyBorder="1" applyAlignment="1">
      <x:alignment horizontal="left" vertical="center" wrapText="1"/>
    </x:xf>
    <x:xf numFmtId="0" fontId="36" fillId="120" borderId="9" xfId="0" applyNumberFormat="1" applyFont="1" applyFill="1" applyBorder="1" applyAlignment="1">
      <x:alignment horizontal="left" vertical="center" wrapText="1"/>
    </x:xf>
    <x:xf numFmtId="0" fontId="36" fillId="120" borderId="0" xfId="0" applyNumberFormat="1" applyFont="1" applyFill="1" applyBorder="1" applyAlignment="1">
      <x:alignment horizontal="left" vertical="center" wrapText="1"/>
    </x:xf>
    <x:xf numFmtId="0" fontId="36" fillId="120" borderId="10" xfId="0" applyNumberFormat="1" applyFont="1" applyFill="1" applyBorder="1" applyAlignment="1">
      <x:alignment horizontal="left" vertical="center" wrapText="1"/>
    </x:xf>
    <x:xf numFmtId="0" fontId="36" fillId="120" borderId="11" xfId="0" applyNumberFormat="1" applyFont="1" applyFill="1" applyBorder="1" applyAlignment="1">
      <x:alignment horizontal="left" vertical="center" wrapText="1"/>
    </x:xf>
    <x:xf numFmtId="0" fontId="36" fillId="120" borderId="12" xfId="0" applyNumberFormat="1" applyFont="1" applyFill="1" applyBorder="1" applyAlignment="1">
      <x:alignment horizontal="left" vertical="center" wrapText="1"/>
    </x:xf>
    <x:xf numFmtId="0" fontId="36" fillId="120" borderId="13" xfId="0" applyNumberFormat="1" applyFont="1" applyFill="1" applyBorder="1" applyAlignment="1">
      <x:alignment horizontal="left" vertical="center" wrapText="1"/>
    </x:xf>
    <x:xf numFmtId="0" fontId="25" fillId="124" borderId="0" xfId="0" applyNumberFormat="1" applyFont="1" applyFill="1" applyBorder="1" applyAlignment="1">
      <x:alignment vertical="top" wrapText="1"/>
    </x:xf>
    <x:xf numFmtId="201" fontId="25" fillId="124" borderId="0" xfId="0" applyNumberFormat="1" applyFont="1" applyFill="1" applyBorder="1" applyAlignment="1">
      <x:alignment vertical="top" wrapText="1"/>
    </x:xf>
    <x:xf numFmtId="202" fontId="25" fillId="124" borderId="0" xfId="0" applyNumberFormat="1" applyFont="1" applyFill="1" applyBorder="1" applyAlignment="1">
      <x:alignment vertical="top" wrapText="1"/>
    </x:xf>
    <x:xf numFmtId="0" fontId="28" fillId="124" borderId="0" xfId="0" applyNumberFormat="1" applyFont="1" applyFill="1" applyBorder="1" applyAlignment="1">
      <x:alignment vertical="top" wrapText="1"/>
    </x:xf>
    <x:xf numFmtId="0" fontId="25" fillId="125" borderId="0" xfId="0" applyNumberFormat="1" applyFont="1" applyFill="1" applyBorder="1" applyAlignment="1">
      <x:alignment vertical="top" wrapText="1"/>
    </x:xf>
    <x:xf numFmtId="0" fontId="25" fillId="126" borderId="0" xfId="0" applyNumberFormat="1" applyFont="1" applyFill="1" applyBorder="1" applyAlignment="1">
      <x:alignment vertical="top" wrapText="1"/>
    </x:xf>
    <x:xf numFmtId="201" fontId="25" fillId="126" borderId="0" xfId="0" applyNumberFormat="1" applyFont="1" applyFill="1" applyBorder="1" applyAlignment="1">
      <x:alignment vertical="top" wrapText="1"/>
    </x:xf>
    <x:xf numFmtId="202" fontId="25" fillId="126" borderId="0" xfId="0" applyNumberFormat="1" applyFont="1" applyFill="1" applyBorder="1" applyAlignment="1">
      <x:alignment vertical="top" wrapText="1"/>
    </x:xf>
    <x:xf numFmtId="0" fontId="28" fillId="126" borderId="0" xfId="0" applyNumberFormat="1" applyFont="1" applyFill="1" applyBorder="1" applyAlignment="1">
      <x:alignment vertical="top" wrapText="1"/>
    </x:xf>
    <x:xf numFmtId="0" fontId="25" fillId="127" borderId="0" xfId="0" applyNumberFormat="1" applyFont="1" applyFill="1" applyBorder="1" applyAlignment="1">
      <x:alignment vertical="top" wrapText="1"/>
    </x:xf>
    <x:xf numFmtId="0" fontId="25" fillId="128" borderId="0" xfId="0" applyNumberFormat="1" applyFont="1" applyFill="1" applyBorder="1" applyAlignment="1">
      <x:alignment vertical="top" wrapText="1"/>
    </x:xf>
    <x:xf numFmtId="0" fontId="25" fillId="129" borderId="0" xfId="0" applyNumberFormat="1" applyFont="1" applyFill="1" applyBorder="1" applyAlignment="1">
      <x:alignment vertical="top" wrapText="1"/>
    </x:xf>
    <x:xf numFmtId="0" fontId="25" fillId="130" borderId="0" xfId="0" applyNumberFormat="1" applyFont="1" applyFill="1" applyBorder="1" applyAlignment="1">
      <x:alignment vertical="top" wrapText="1"/>
    </x:xf>
    <x:xf numFmtId="0" fontId="25" fillId="131" borderId="0" xfId="0" applyNumberFormat="1" applyFont="1" applyFill="1" applyBorder="1" applyAlignment="1">
      <x:alignment vertical="top" wrapText="1"/>
    </x:xf>
    <x:xf numFmtId="202" fontId="20" fillId="124" borderId="0" xfId="0" applyNumberFormat="1" applyFont="1" applyFill="1" applyBorder="1" applyAlignment="1">
      <x:alignment vertical="center" wrapText="1"/>
    </x:xf>
    <x:xf numFmtId="0" fontId="27" fillId="132" borderId="0" xfId="0" applyNumberFormat="1" applyFont="1" applyFill="1" applyBorder="1" applyAlignment="1">
      <x:alignment vertical="center" wrapText="1"/>
    </x:xf>
    <x:xf numFmtId="0" fontId="20" fillId="124" borderId="0" xfId="0" applyNumberFormat="1" applyFont="1" applyFill="1" applyBorder="1" applyAlignment="1">
      <x:alignment vertical="center" wrapText="1"/>
    </x:xf>
    <x:xf numFmtId="203" fontId="20" fillId="124" borderId="0" xfId="0" applyNumberFormat="1" applyFont="1" applyFill="1" applyBorder="1" applyAlignment="1">
      <x:alignment vertical="center" wrapText="1"/>
    </x:xf>
    <x:xf numFmtId="0" fontId="27" fillId="124" borderId="0" xfId="0" applyNumberFormat="1" applyFont="1" applyFill="1" applyBorder="1" applyAlignment="1">
      <x:alignment vertical="center" wrapText="1"/>
    </x:xf>
    <x:xf numFmtId="0" fontId="0" fillId="124" borderId="0" xfId="0" applyNumberFormat="1" applyFont="1" applyFill="1" applyBorder="1"/>
    <x:xf numFmtId="203" fontId="25" fillId="124" borderId="0" xfId="0" applyNumberFormat="1" applyFont="1" applyFill="1" applyBorder="1" applyAlignment="1">
      <x:alignment vertical="top" wrapText="1"/>
    </x:xf>
    <x:xf numFmtId="0" fontId="29" fillId="124" borderId="0" xfId="0" applyNumberFormat="1" applyFont="1" applyFill="1" applyBorder="1" applyAlignment="1">
      <x:alignment vertical="center" wrapText="1"/>
    </x:xf>
    <x:xf numFmtId="0" fontId="30" fillId="124" borderId="0" xfId="0" applyNumberFormat="1" applyFont="1" applyFill="1" applyBorder="1" applyAlignment="1">
      <x:alignment vertical="center" wrapText="1"/>
    </x:xf>
    <x:xf numFmtId="0" fontId="39" fillId="16" borderId="0" xfId="0" applyNumberFormat="1" applyFont="1" applyFill="1" applyBorder="1" applyAlignment="1">
      <x:alignment vertical="center" wrapText="1"/>
    </x:xf>
    <x:xf numFmtId="202" fontId="39" fillId="6" borderId="0" xfId="0" applyNumberFormat="1" applyFont="1" applyFill="1" applyBorder="1" applyAlignment="1">
      <x:alignment vertical="center" wrapText="1"/>
    </x:xf>
    <x:xf numFmtId="0" fontId="39" fillId="6" borderId="0" xfId="0" applyNumberFormat="1" applyFont="1" applyFill="1" applyBorder="1" applyAlignment="1">
      <x:alignment vertical="top" wrapText="1"/>
    </x:xf>
    <x:xf numFmtId="203" fontId="39" fillId="6" borderId="0" xfId="0" applyNumberFormat="1" applyFont="1" applyFill="1" applyBorder="1" applyAlignment="1">
      <x:alignment vertical="top" wrapText="1"/>
    </x:xf>
    <x:xf numFmtId="202" fontId="39" fillId="6" borderId="0" xfId="0" applyNumberFormat="1" applyFont="1" applyFill="1" applyBorder="1" applyAlignment="1">
      <x:alignment vertical="top" wrapText="1"/>
    </x:xf>
    <x:xf numFmtId="0" fontId="39" fillId="30" borderId="0" xfId="0" applyNumberFormat="1" applyFont="1" applyFill="1" applyBorder="1" applyAlignment="1">
      <x:alignment vertical="top" wrapText="1"/>
    </x:xf>
    <x:xf numFmtId="0" fontId="39" fillId="18" borderId="0" xfId="0" applyNumberFormat="1" applyFont="1" applyFill="1" applyBorder="1" applyAlignment="1">
      <x:alignment vertical="top" wrapText="1"/>
    </x:xf>
    <x:xf numFmtId="0" fontId="39" fillId="17" borderId="0" xfId="0" applyNumberFormat="1" applyFont="1" applyFill="1" applyBorder="1" applyAlignment="1">
      <x:alignment vertical="top" wrapText="1"/>
    </x:xf>
    <x:xf numFmtId="203" fontId="39" fillId="17" borderId="0" xfId="0" applyNumberFormat="1" applyFont="1" applyFill="1" applyBorder="1" applyAlignment="1">
      <x:alignment vertical="top" wrapText="1"/>
    </x:xf>
    <x:xf numFmtId="0" fontId="39" fillId="6" borderId="0" xfId="0" applyNumberFormat="1" applyFont="1" applyFill="1" applyBorder="1" applyAlignment="1">
      <x:alignment vertical="center" wrapText="1"/>
    </x:xf>
    <x:xf numFmtId="203" fontId="39" fillId="6" borderId="0" xfId="0" applyNumberFormat="1" applyFont="1" applyFill="1" applyBorder="1" applyAlignment="1">
      <x:alignment vertical="center" wrapText="1"/>
    </x:xf>
    <x:xf numFmtId="0" fontId="39" fillId="6" borderId="0" xfId="0" applyNumberFormat="1" applyFont="1" applyFill="1" applyBorder="1"/>
    <x:xf numFmtId="0" fontId="39" fillId="6" borderId="0" xfId="0" applyNumberFormat="1" applyFont="1" applyFill="1" applyBorder="1" applyAlignment="1">
      <x:alignment wrapText="1"/>
    </x:xf>
    <x:xf numFmtId="0" fontId="39" fillId="16" borderId="0" xfId="0" applyNumberFormat="1" applyFont="1" applyFill="1" applyBorder="1" applyAlignment="1">
      <x:alignment vertical="top" wrapText="1"/>
    </x:xf>
    <x:xf numFmtId="0" fontId="39" fillId="133" borderId="0" xfId="0" applyNumberFormat="1" applyFont="1" applyFill="1" applyBorder="1" applyAlignment="1">
      <x:alignment vertical="top" wrapText="1"/>
    </x:xf>
    <x:xf numFmtId="202" fontId="39" fillId="133" borderId="0" xfId="0" applyNumberFormat="1" applyFont="1" applyFill="1" applyBorder="1" applyAlignment="1">
      <x:alignment vertical="top" wrapText="1"/>
    </x:xf>
    <x:xf numFmtId="0" fontId="20" fillId="133" borderId="0" xfId="0" applyNumberFormat="1" applyFont="1" applyFill="1" applyBorder="1" applyAlignment="1">
      <x:alignment vertical="top" wrapText="1"/>
    </x:xf>
    <x:xf numFmtId="202" fontId="20" fillId="133" borderId="0" xfId="0" applyNumberFormat="1" applyFont="1" applyFill="1" applyBorder="1" applyAlignment="1">
      <x:alignment vertical="top" wrapText="1"/>
    </x:xf>
    <x:xf numFmtId="0" fontId="20" fillId="133" borderId="0" xfId="0" applyNumberFormat="1" applyFont="1" applyFill="1" applyBorder="1" applyAlignment="1">
      <x:alignment vertical="center" wrapText="1"/>
    </x:xf>
    <x:xf numFmtId="202" fontId="20" fillId="133" borderId="0" xfId="0" applyNumberFormat="1" applyFont="1" applyFill="1" applyBorder="1" applyAlignment="1">
      <x:alignment vertical="center" wrapText="1"/>
    </x:xf>
    <x:xf numFmtId="0" fontId="39" fillId="124" borderId="0" xfId="0" applyNumberFormat="1" applyFont="1" applyFill="1" applyBorder="1" applyAlignment="1">
      <x:alignment vertical="top" wrapText="1"/>
    </x:xf>
    <x:xf numFmtId="203" fontId="39" fillId="124" borderId="0" xfId="0" applyNumberFormat="1" applyFont="1" applyFill="1" applyBorder="1" applyAlignment="1">
      <x:alignment vertical="top" wrapText="1"/>
    </x:xf>
    <x:xf numFmtId="202" fontId="39" fillId="124" borderId="0" xfId="0" applyNumberFormat="1" applyFont="1" applyFill="1" applyBorder="1" applyAlignment="1">
      <x:alignment vertical="top" wrapText="1"/>
    </x:xf>
    <x:xf numFmtId="0" fontId="39" fillId="126" borderId="0" xfId="0" applyNumberFormat="1" applyFont="1" applyFill="1" applyBorder="1" applyAlignment="1">
      <x:alignment vertical="top" wrapText="1"/>
    </x:xf>
    <x:xf numFmtId="203" fontId="39" fillId="126" borderId="0" xfId="0" applyNumberFormat="1" applyFont="1" applyFill="1" applyBorder="1" applyAlignment="1">
      <x:alignment vertical="top" wrapText="1"/>
    </x:xf>
    <x:xf numFmtId="202" fontId="39" fillId="126" borderId="0" xfId="0" applyNumberFormat="1" applyFont="1" applyFill="1" applyBorder="1" applyAlignment="1">
      <x:alignment vertical="top" wrapText="1"/>
    </x:xf>
    <x:xf numFmtId="0" fontId="40" fillId="124" borderId="0" xfId="0" applyNumberFormat="1" applyFont="1" applyFill="1" applyBorder="1" applyAlignment="1">
      <x:alignment vertical="top" wrapText="1"/>
    </x:xf>
    <x:xf numFmtId="0" fontId="40" fillId="126" borderId="0" xfId="0" applyNumberFormat="1" applyFont="1" applyFill="1" applyBorder="1" applyAlignment="1">
      <x:alignment vertical="top" wrapText="1"/>
    </x:xf>
    <x:xf numFmtId="0" fontId="39" fillId="134" borderId="0" xfId="0" applyNumberFormat="1" applyFont="1" applyFill="1" applyBorder="1" applyAlignment="1">
      <x:alignment vertical="top" wrapText="1"/>
    </x:xf>
    <x:xf numFmtId="0" fontId="39" fillId="131" borderId="0" xfId="0" applyNumberFormat="1" applyFont="1" applyFill="1" applyBorder="1" applyAlignment="1">
      <x:alignment vertical="top" wrapText="1"/>
    </x:xf>
    <x:xf numFmtId="0" fontId="27" fillId="133" borderId="0" xfId="0" applyNumberFormat="1" applyFont="1" applyFill="1" applyBorder="1" applyAlignment="1">
      <x:alignment vertical="center" wrapText="1"/>
    </x:xf>
    <x:xf numFmtId="203" fontId="25" fillId="133" borderId="0" xfId="0" applyNumberFormat="1" applyFont="1" applyFill="1" applyBorder="1" applyAlignment="1">
      <x:alignment vertical="top" wrapText="1"/>
    </x:xf>
    <x:xf numFmtId="203" fontId="20" fillId="133" borderId="0" xfId="0" applyNumberFormat="1" applyFont="1" applyFill="1" applyBorder="1" applyAlignment="1">
      <x:alignment vertical="top" wrapText="1"/>
    </x:xf>
    <x:xf numFmtId="203" fontId="20" fillId="133" borderId="0" xfId="0" applyNumberFormat="1" applyFont="1" applyFill="1" applyBorder="1" applyAlignment="1">
      <x:alignment vertical="center" wrapText="1"/>
    </x:xf>
    <x:xf numFmtId="0" fontId="27" fillId="124" borderId="0" xfId="0" applyNumberFormat="1" applyFont="1" applyFill="1" applyBorder="1" applyAlignment="1">
      <x:alignment vertical="top" wrapText="1"/>
    </x:xf>
    <x:xf numFmtId="0" fontId="20" fillId="132" borderId="0" xfId="0" applyNumberFormat="1" applyFont="1" applyFill="1" applyBorder="1" applyAlignment="1">
      <x:alignment vertical="center" wrapText="1"/>
    </x:xf>
    <x:xf numFmtId="0" fontId="25" fillId="132" borderId="0" xfId="0" applyNumberFormat="1" applyFont="1" applyFill="1" applyBorder="1" applyAlignment="1">
      <x:alignment vertical="top" wrapText="1"/>
    </x:xf>
    <x:xf numFmtId="0" fontId="27" fillId="132" borderId="0" xfId="0" applyNumberFormat="1" applyFont="1" applyFill="1" applyBorder="1" applyAlignment="1">
      <x:alignment vertical="top" wrapText="1"/>
    </x:xf>
    <x:xf numFmtId="0" fontId="30" fillId="124" borderId="0" xfId="0" applyNumberFormat="1" applyFont="1" applyFill="1" applyBorder="1" applyAlignment="1">
      <x:alignment vertical="top" wrapText="1"/>
    </x:xf>
    <x:xf numFmtId="0" fontId="26" fillId="124" borderId="0" xfId="0" applyNumberFormat="1" applyFont="1" applyFill="1" applyBorder="1" applyAlignment="1">
      <x:alignment vertical="center" wrapText="1"/>
    </x:xf>
    <x:xf numFmtId="0" fontId="27" fillId="135" borderId="0" xfId="0" applyNumberFormat="1" applyFont="1" applyFill="1" applyBorder="1" applyAlignment="1">
      <x:alignment vertical="top" wrapText="1"/>
    </x:xf>
    <x:xf numFmtId="0" fontId="26" fillId="135" borderId="0" xfId="0" applyNumberFormat="1" applyFont="1" applyFill="1" applyBorder="1" applyAlignment="1">
      <x:alignment vertical="top" wrapText="1"/>
    </x:xf>
    <x:xf numFmtId="0" fontId="26" fillId="135" borderId="0" xfId="0" applyNumberFormat="1" applyFont="1" applyFill="1" applyBorder="1" applyAlignment="1">
      <x:alignment vertical="center" wrapText="1"/>
    </x:xf>
    <x:xf numFmtId="0" fontId="27" fillId="133" borderId="0" xfId="0" applyNumberFormat="1" applyFont="1" applyFill="1" applyBorder="1" applyAlignment="1">
      <x:alignment vertical="top" wrapText="1"/>
    </x:xf>
    <x:xf numFmtId="0" fontId="20" fillId="136" borderId="1" xfId="0" applyNumberFormat="1" applyFont="1" applyFill="1" applyBorder="1" applyAlignment="1">
      <x:alignment horizontal="left" vertical="center" wrapText="1"/>
    </x:xf>
    <x:xf numFmtId="165" fontId="34" fillId="136" borderId="1" xfId="0" applyNumberFormat="1" applyFont="1" applyFill="1" applyBorder="1" applyAlignment="1">
      <x:alignment horizontal="left" vertical="center" wrapText="1"/>
    </x:xf>
    <x:xf numFmtId="166" fontId="34" fillId="136" borderId="1" xfId="0" applyNumberFormat="1" applyFont="1" applyFill="1" applyBorder="1" applyAlignment="1">
      <x:alignment horizontal="left" vertical="center" wrapText="1"/>
    </x:xf>
    <x:xf numFmtId="0" fontId="34" fillId="136" borderId="1" xfId="0" applyNumberFormat="1" applyFont="1" applyFill="1" applyBorder="1" applyAlignment="1">
      <x:alignment horizontal="left" vertical="center" wrapText="1"/>
    </x:xf>
    <x:xf numFmtId="0" fontId="34" fillId="136" borderId="0" xfId="0" applyNumberFormat="1" applyFont="1" applyFill="1" applyBorder="1" applyAlignment="1">
      <x:alignment horizontal="left" vertical="center" wrapText="1"/>
    </x:xf>
    <x:xf numFmtId="167" fontId="34" fillId="136" borderId="1" xfId="0" applyNumberFormat="1" applyFont="1" applyFill="1" applyBorder="1" applyAlignment="1">
      <x:alignment horizontal="left" vertical="center" wrapText="1"/>
    </x:xf>
    <x:xf numFmtId="168" fontId="34" fillId="136" borderId="1" xfId="0" applyNumberFormat="1" applyFont="1" applyFill="1" applyBorder="1" applyAlignment="1">
      <x:alignment horizontal="left" vertical="center" wrapText="1"/>
    </x:xf>
    <x:xf numFmtId="170" fontId="34" fillId="136" borderId="1" xfId="0" applyNumberFormat="1" applyFont="1" applyFill="1" applyBorder="1" applyAlignment="1">
      <x:alignment horizontal="left" vertical="center" wrapText="1"/>
    </x:xf>
    <x:xf numFmtId="0" fontId="35" fillId="136" borderId="6" xfId="0" applyNumberFormat="1" applyFont="1" applyFill="1" applyBorder="1" applyAlignment="1">
      <x:alignment horizontal="left" vertical="center" wrapText="1"/>
    </x:xf>
    <x:xf numFmtId="0" fontId="35" fillId="136" borderId="7" xfId="0" applyNumberFormat="1" applyFont="1" applyFill="1" applyBorder="1" applyAlignment="1">
      <x:alignment horizontal="left" vertical="center" wrapText="1"/>
    </x:xf>
    <x:xf numFmtId="0" fontId="35" fillId="136" borderId="8" xfId="0" applyNumberFormat="1" applyFont="1" applyFill="1" applyBorder="1" applyAlignment="1">
      <x:alignment horizontal="left" vertical="center" wrapText="1"/>
    </x:xf>
    <x:xf numFmtId="0" fontId="35" fillId="136" borderId="9" xfId="0" applyNumberFormat="1" applyFont="1" applyFill="1" applyBorder="1" applyAlignment="1">
      <x:alignment horizontal="left" vertical="center" wrapText="1"/>
    </x:xf>
    <x:xf numFmtId="0" fontId="35" fillId="136" borderId="0" xfId="0" applyNumberFormat="1" applyFont="1" applyFill="1" applyBorder="1" applyAlignment="1">
      <x:alignment horizontal="left" vertical="center" wrapText="1"/>
    </x:xf>
    <x:xf numFmtId="0" fontId="35" fillId="136" borderId="10" xfId="0" applyNumberFormat="1" applyFont="1" applyFill="1" applyBorder="1" applyAlignment="1">
      <x:alignment horizontal="left" vertical="center" wrapText="1"/>
    </x:xf>
    <x:xf numFmtId="0" fontId="35" fillId="136" borderId="11" xfId="0" applyNumberFormat="1" applyFont="1" applyFill="1" applyBorder="1" applyAlignment="1">
      <x:alignment horizontal="left" vertical="center" wrapText="1"/>
    </x:xf>
    <x:xf numFmtId="0" fontId="35" fillId="136" borderId="12" xfId="0" applyNumberFormat="1" applyFont="1" applyFill="1" applyBorder="1" applyAlignment="1">
      <x:alignment horizontal="left" vertical="center" wrapText="1"/>
    </x:xf>
    <x:xf numFmtId="0" fontId="35" fillId="136" borderId="13" xfId="0" applyNumberFormat="1" applyFont="1" applyFill="1" applyBorder="1" applyAlignment="1">
      <x:alignment horizontal="left" vertical="center" wrapText="1"/>
    </x:xf>
    <x:xf numFmtId="0" fontId="36" fillId="133" borderId="9" xfId="0" applyNumberFormat="1" applyFont="1" applyFill="1" applyBorder="1" applyAlignment="1">
      <x:alignment horizontal="left" vertical="center" wrapText="1"/>
    </x:xf>
    <x:xf numFmtId="0" fontId="36" fillId="133" borderId="0" xfId="0" applyNumberFormat="1" applyFont="1" applyFill="1" applyBorder="1" applyAlignment="1">
      <x:alignment horizontal="left" vertical="center" wrapText="1"/>
    </x:xf>
    <x:xf numFmtId="0" fontId="36" fillId="133" borderId="10" xfId="0" applyNumberFormat="1" applyFont="1" applyFill="1" applyBorder="1" applyAlignment="1">
      <x:alignment horizontal="left" vertical="center" wrapText="1"/>
    </x:xf>
    <x:xf numFmtId="0" fontId="36" fillId="133" borderId="11" xfId="0" applyNumberFormat="1" applyFont="1" applyFill="1" applyBorder="1" applyAlignment="1">
      <x:alignment horizontal="left" vertical="center" wrapText="1"/>
    </x:xf>
    <x:xf numFmtId="0" fontId="36" fillId="133" borderId="12" xfId="0" applyNumberFormat="1" applyFont="1" applyFill="1" applyBorder="1" applyAlignment="1">
      <x:alignment horizontal="left" vertical="center" wrapText="1"/>
    </x:xf>
    <x:xf numFmtId="0" fontId="36" fillId="133" borderId="13" xfId="0" applyNumberFormat="1" applyFont="1" applyFill="1" applyBorder="1" applyAlignment="1">
      <x:alignment horizontal="left" vertical="center" wrapText="1"/>
    </x:xf>
    <x:xf numFmtId="0" fontId="25" fillId="137" borderId="0" xfId="0" applyNumberFormat="1" applyFont="1" applyFill="1" applyBorder="1" applyAlignment="1">
      <x:alignment vertical="top" wrapText="1"/>
    </x:xf>
    <x:xf numFmtId="201" fontId="25" fillId="137" borderId="0" xfId="0" applyNumberFormat="1" applyFont="1" applyFill="1" applyBorder="1" applyAlignment="1">
      <x:alignment vertical="top" wrapText="1"/>
    </x:xf>
    <x:xf numFmtId="202" fontId="25" fillId="137" borderId="0" xfId="0" applyNumberFormat="1" applyFont="1" applyFill="1" applyBorder="1" applyAlignment="1">
      <x:alignment vertical="top" wrapText="1"/>
    </x:xf>
    <x:xf numFmtId="0" fontId="28" fillId="137" borderId="0" xfId="0" applyNumberFormat="1" applyFont="1" applyFill="1" applyBorder="1" applyAlignment="1">
      <x:alignment vertical="top" wrapText="1"/>
    </x:xf>
    <x:xf numFmtId="0" fontId="25" fillId="138" borderId="0" xfId="0" applyNumberFormat="1" applyFont="1" applyFill="1" applyBorder="1" applyAlignment="1">
      <x:alignment vertical="top" wrapText="1"/>
    </x:xf>
    <x:xf numFmtId="0" fontId="25" fillId="139" borderId="0" xfId="0" applyNumberFormat="1" applyFont="1" applyFill="1" applyBorder="1" applyAlignment="1">
      <x:alignment vertical="top" wrapText="1"/>
    </x:xf>
    <x:xf numFmtId="201" fontId="25" fillId="139" borderId="0" xfId="0" applyNumberFormat="1" applyFont="1" applyFill="1" applyBorder="1" applyAlignment="1">
      <x:alignment vertical="top" wrapText="1"/>
    </x:xf>
    <x:xf numFmtId="202" fontId="25" fillId="139" borderId="0" xfId="0" applyNumberFormat="1" applyFont="1" applyFill="1" applyBorder="1" applyAlignment="1">
      <x:alignment vertical="top" wrapText="1"/>
    </x:xf>
    <x:xf numFmtId="0" fontId="28" fillId="139" borderId="0" xfId="0" applyNumberFormat="1" applyFont="1" applyFill="1" applyBorder="1" applyAlignment="1">
      <x:alignment vertical="top" wrapText="1"/>
    </x:xf>
    <x:xf numFmtId="0" fontId="25" fillId="140" borderId="0" xfId="0" applyNumberFormat="1" applyFont="1" applyFill="1" applyBorder="1" applyAlignment="1">
      <x:alignment vertical="top" wrapText="1"/>
    </x:xf>
    <x:xf numFmtId="0" fontId="25" fillId="141" borderId="0" xfId="0" applyNumberFormat="1" applyFont="1" applyFill="1" applyBorder="1" applyAlignment="1">
      <x:alignment vertical="top" wrapText="1"/>
    </x:xf>
    <x:xf numFmtId="0" fontId="25" fillId="142" borderId="0" xfId="0" applyNumberFormat="1" applyFont="1" applyFill="1" applyBorder="1" applyAlignment="1">
      <x:alignment vertical="top" wrapText="1"/>
    </x:xf>
    <x:xf numFmtId="0" fontId="25" fillId="143" borderId="0" xfId="0" applyNumberFormat="1" applyFont="1" applyFill="1" applyBorder="1" applyAlignment="1">
      <x:alignment vertical="top" wrapText="1"/>
    </x:xf>
    <x:xf numFmtId="0" fontId="25" fillId="144" borderId="0" xfId="0" applyNumberFormat="1" applyFont="1" applyFill="1" applyBorder="1" applyAlignment="1">
      <x:alignment vertical="top" wrapText="1"/>
    </x:xf>
    <x:xf numFmtId="202" fontId="20" fillId="137" borderId="0" xfId="0" applyNumberFormat="1" applyFont="1" applyFill="1" applyBorder="1" applyAlignment="1">
      <x:alignment vertical="center" wrapText="1"/>
    </x:xf>
    <x:xf numFmtId="0" fontId="27" fillId="145" borderId="0" xfId="0" applyNumberFormat="1" applyFont="1" applyFill="1" applyBorder="1" applyAlignment="1">
      <x:alignment vertical="center" wrapText="1"/>
    </x:xf>
    <x:xf numFmtId="0" fontId="20" fillId="137" borderId="0" xfId="0" applyNumberFormat="1" applyFont="1" applyFill="1" applyBorder="1" applyAlignment="1">
      <x:alignment vertical="center" wrapText="1"/>
    </x:xf>
    <x:xf numFmtId="203" fontId="20" fillId="137" borderId="0" xfId="0" applyNumberFormat="1" applyFont="1" applyFill="1" applyBorder="1" applyAlignment="1">
      <x:alignment vertical="center" wrapText="1"/>
    </x:xf>
    <x:xf numFmtId="0" fontId="27" fillId="137" borderId="0" xfId="0" applyNumberFormat="1" applyFont="1" applyFill="1" applyBorder="1" applyAlignment="1">
      <x:alignment vertical="center" wrapText="1"/>
    </x:xf>
    <x:xf numFmtId="0" fontId="0" fillId="137" borderId="0" xfId="0" applyNumberFormat="1" applyFont="1" applyFill="1" applyBorder="1"/>
    <x:xf numFmtId="203" fontId="25" fillId="137" borderId="0" xfId="0" applyNumberFormat="1" applyFont="1" applyFill="1" applyBorder="1" applyAlignment="1">
      <x:alignment vertical="top" wrapText="1"/>
    </x:xf>
    <x:xf numFmtId="0" fontId="29" fillId="137" borderId="0" xfId="0" applyNumberFormat="1" applyFont="1" applyFill="1" applyBorder="1" applyAlignment="1">
      <x:alignment vertical="center" wrapText="1"/>
    </x:xf>
    <x:xf numFmtId="0" fontId="30" fillId="137" borderId="0" xfId="0" applyNumberFormat="1" applyFont="1" applyFill="1" applyBorder="1" applyAlignment="1">
      <x:alignment vertical="center" wrapText="1"/>
    </x:xf>
    <x:xf numFmtId="0" fontId="41" fillId="16" borderId="0" xfId="0" applyNumberFormat="1" applyFont="1" applyFill="1" applyBorder="1" applyAlignment="1">
      <x:alignment vertical="center" wrapText="1"/>
    </x:xf>
    <x:xf numFmtId="202" fontId="41" fillId="6" borderId="0" xfId="0" applyNumberFormat="1" applyFont="1" applyFill="1" applyBorder="1" applyAlignment="1">
      <x:alignment vertical="center" wrapText="1"/>
    </x:xf>
    <x:xf numFmtId="0" fontId="41" fillId="6" borderId="0" xfId="0" applyNumberFormat="1" applyFont="1" applyFill="1" applyBorder="1" applyAlignment="1">
      <x:alignment vertical="top" wrapText="1"/>
    </x:xf>
    <x:xf numFmtId="203" fontId="41" fillId="6" borderId="0" xfId="0" applyNumberFormat="1" applyFont="1" applyFill="1" applyBorder="1" applyAlignment="1">
      <x:alignment vertical="top" wrapText="1"/>
    </x:xf>
    <x:xf numFmtId="202" fontId="41" fillId="6" borderId="0" xfId="0" applyNumberFormat="1" applyFont="1" applyFill="1" applyBorder="1" applyAlignment="1">
      <x:alignment vertical="top" wrapText="1"/>
    </x:xf>
    <x:xf numFmtId="0" fontId="41" fillId="30" borderId="0" xfId="0" applyNumberFormat="1" applyFont="1" applyFill="1" applyBorder="1" applyAlignment="1">
      <x:alignment vertical="top" wrapText="1"/>
    </x:xf>
    <x:xf numFmtId="0" fontId="41" fillId="18" borderId="0" xfId="0" applyNumberFormat="1" applyFont="1" applyFill="1" applyBorder="1" applyAlignment="1">
      <x:alignment vertical="top" wrapText="1"/>
    </x:xf>
    <x:xf numFmtId="0" fontId="41" fillId="17" borderId="0" xfId="0" applyNumberFormat="1" applyFont="1" applyFill="1" applyBorder="1" applyAlignment="1">
      <x:alignment vertical="top" wrapText="1"/>
    </x:xf>
    <x:xf numFmtId="203" fontId="41" fillId="17" borderId="0" xfId="0" applyNumberFormat="1" applyFont="1" applyFill="1" applyBorder="1" applyAlignment="1">
      <x:alignment vertical="top" wrapText="1"/>
    </x:xf>
    <x:xf numFmtId="0" fontId="41" fillId="16" borderId="0" xfId="0" applyNumberFormat="1" applyFont="1" applyFill="1" applyBorder="1" applyAlignment="1">
      <x:alignment vertical="top" wrapText="1"/>
    </x:xf>
    <x:xf numFmtId="0" fontId="41" fillId="146" borderId="0" xfId="0" applyNumberFormat="1" applyFont="1" applyFill="1" applyBorder="1" applyAlignment="1">
      <x:alignment vertical="top" wrapText="1"/>
    </x:xf>
    <x:xf numFmtId="202" fontId="41" fillId="146" borderId="0" xfId="0" applyNumberFormat="1" applyFont="1" applyFill="1" applyBorder="1" applyAlignment="1">
      <x:alignment vertical="top" wrapText="1"/>
    </x:xf>
    <x:xf numFmtId="0" fontId="20" fillId="146" borderId="0" xfId="0" applyNumberFormat="1" applyFont="1" applyFill="1" applyBorder="1" applyAlignment="1">
      <x:alignment vertical="top" wrapText="1"/>
    </x:xf>
    <x:xf numFmtId="202" fontId="20" fillId="146" borderId="0" xfId="0" applyNumberFormat="1" applyFont="1" applyFill="1" applyBorder="1" applyAlignment="1">
      <x:alignment vertical="top" wrapText="1"/>
    </x:xf>
    <x:xf numFmtId="0" fontId="20" fillId="146" borderId="0" xfId="0" applyNumberFormat="1" applyFont="1" applyFill="1" applyBorder="1" applyAlignment="1">
      <x:alignment vertical="center" wrapText="1"/>
    </x:xf>
    <x:xf numFmtId="202" fontId="20" fillId="146" borderId="0" xfId="0" applyNumberFormat="1" applyFont="1" applyFill="1" applyBorder="1" applyAlignment="1">
      <x:alignment vertical="center" wrapText="1"/>
    </x:xf>
    <x:xf numFmtId="0" fontId="41" fillId="137" borderId="0" xfId="0" applyNumberFormat="1" applyFont="1" applyFill="1" applyBorder="1" applyAlignment="1">
      <x:alignment vertical="top" wrapText="1"/>
    </x:xf>
    <x:xf numFmtId="203" fontId="41" fillId="137" borderId="0" xfId="0" applyNumberFormat="1" applyFont="1" applyFill="1" applyBorder="1" applyAlignment="1">
      <x:alignment vertical="top" wrapText="1"/>
    </x:xf>
    <x:xf numFmtId="202" fontId="41" fillId="137" borderId="0" xfId="0" applyNumberFormat="1" applyFont="1" applyFill="1" applyBorder="1" applyAlignment="1">
      <x:alignment vertical="top" wrapText="1"/>
    </x:xf>
    <x:xf numFmtId="0" fontId="41" fillId="139" borderId="0" xfId="0" applyNumberFormat="1" applyFont="1" applyFill="1" applyBorder="1" applyAlignment="1">
      <x:alignment vertical="top" wrapText="1"/>
    </x:xf>
    <x:xf numFmtId="203" fontId="41" fillId="139" borderId="0" xfId="0" applyNumberFormat="1" applyFont="1" applyFill="1" applyBorder="1" applyAlignment="1">
      <x:alignment vertical="top" wrapText="1"/>
    </x:xf>
    <x:xf numFmtId="202" fontId="41" fillId="139" borderId="0" xfId="0" applyNumberFormat="1" applyFont="1" applyFill="1" applyBorder="1" applyAlignment="1">
      <x:alignment vertical="top" wrapText="1"/>
    </x:xf>
    <x:xf numFmtId="0" fontId="42" fillId="137" borderId="0" xfId="0" applyNumberFormat="1" applyFont="1" applyFill="1" applyBorder="1" applyAlignment="1">
      <x:alignment vertical="top" wrapText="1"/>
    </x:xf>
    <x:xf numFmtId="0" fontId="42" fillId="139" borderId="0" xfId="0" applyNumberFormat="1" applyFont="1" applyFill="1" applyBorder="1" applyAlignment="1">
      <x:alignment vertical="top" wrapText="1"/>
    </x:xf>
    <x:xf numFmtId="0" fontId="41" fillId="147" borderId="0" xfId="0" applyNumberFormat="1" applyFont="1" applyFill="1" applyBorder="1" applyAlignment="1">
      <x:alignment vertical="top" wrapText="1"/>
    </x:xf>
    <x:xf numFmtId="0" fontId="41" fillId="144" borderId="0" xfId="0" applyNumberFormat="1" applyFont="1" applyFill="1" applyBorder="1" applyAlignment="1">
      <x:alignment vertical="top" wrapText="1"/>
    </x:xf>
    <x:xf numFmtId="203" fontId="20" fillId="146" borderId="0" xfId="0" applyNumberFormat="1" applyFont="1" applyFill="1" applyBorder="1" applyAlignment="1">
      <x:alignment vertical="center" wrapText="1"/>
    </x:xf>
    <x:xf numFmtId="0" fontId="26" fillId="137" borderId="0" xfId="0" applyNumberFormat="1" applyFont="1" applyFill="1" applyBorder="1" applyAlignment="1">
      <x:alignment vertical="center" wrapText="1"/>
    </x:xf>
    <x:xf numFmtId="0" fontId="27" fillId="137" borderId="0" xfId="0" applyNumberFormat="1" applyFont="1" applyFill="1" applyBorder="1" applyAlignment="1">
      <x:alignment vertical="top" wrapText="1"/>
    </x:xf>
    <x:xf numFmtId="0" fontId="27" fillId="148" borderId="0" xfId="0" applyNumberFormat="1" applyFont="1" applyFill="1" applyBorder="1" applyAlignment="1">
      <x:alignment vertical="top" wrapText="1"/>
    </x:xf>
    <x:xf numFmtId="0" fontId="26" fillId="148" borderId="0" xfId="0" applyNumberFormat="1" applyFont="1" applyFill="1" applyBorder="1" applyAlignment="1">
      <x:alignment vertical="top" wrapText="1"/>
    </x:xf>
    <x:xf numFmtId="0" fontId="26" fillId="148" borderId="0" xfId="0" applyNumberFormat="1" applyFont="1" applyFill="1" applyBorder="1" applyAlignment="1">
      <x:alignment vertical="center" wrapText="1"/>
    </x:xf>
    <x:xf numFmtId="0" fontId="27" fillId="145" borderId="0" xfId="0" applyNumberFormat="1" applyFont="1" applyFill="1" applyBorder="1" applyAlignment="1">
      <x:alignment vertical="top" wrapText="1"/>
    </x:xf>
    <x:xf numFmtId="0" fontId="27" fillId="146" borderId="0" xfId="0" applyNumberFormat="1" applyFont="1" applyFill="1" applyBorder="1" applyAlignment="1">
      <x:alignment vertical="top" wrapText="1"/>
    </x:xf>
    <x:xf numFmtId="0" fontId="20" fillId="149" borderId="1" xfId="0" applyNumberFormat="1" applyFont="1" applyFill="1" applyBorder="1" applyAlignment="1">
      <x:alignment horizontal="left" vertical="center" wrapText="1"/>
    </x:xf>
    <x:xf numFmtId="165" fontId="34" fillId="149" borderId="1" xfId="0" applyNumberFormat="1" applyFont="1" applyFill="1" applyBorder="1" applyAlignment="1">
      <x:alignment horizontal="left" vertical="center" wrapText="1"/>
    </x:xf>
    <x:xf numFmtId="166" fontId="34" fillId="149" borderId="1" xfId="0" applyNumberFormat="1" applyFont="1" applyFill="1" applyBorder="1" applyAlignment="1">
      <x:alignment horizontal="left" vertical="center" wrapText="1"/>
    </x:xf>
    <x:xf numFmtId="0" fontId="34" fillId="149" borderId="1" xfId="0" applyNumberFormat="1" applyFont="1" applyFill="1" applyBorder="1" applyAlignment="1">
      <x:alignment horizontal="left" vertical="center" wrapText="1"/>
    </x:xf>
    <x:xf numFmtId="0" fontId="34" fillId="149" borderId="0" xfId="0" applyNumberFormat="1" applyFont="1" applyFill="1" applyBorder="1" applyAlignment="1">
      <x:alignment horizontal="left" vertical="center" wrapText="1"/>
    </x:xf>
    <x:xf numFmtId="167" fontId="34" fillId="149" borderId="1" xfId="0" applyNumberFormat="1" applyFont="1" applyFill="1" applyBorder="1" applyAlignment="1">
      <x:alignment horizontal="left" vertical="center" wrapText="1"/>
    </x:xf>
    <x:xf numFmtId="168" fontId="34" fillId="149" borderId="1" xfId="0" applyNumberFormat="1" applyFont="1" applyFill="1" applyBorder="1" applyAlignment="1">
      <x:alignment horizontal="left" vertical="center" wrapText="1"/>
    </x:xf>
    <x:xf numFmtId="170" fontId="34" fillId="149" borderId="1" xfId="0" applyNumberFormat="1" applyFont="1" applyFill="1" applyBorder="1" applyAlignment="1">
      <x:alignment horizontal="left" vertical="center" wrapText="1"/>
    </x:xf>
    <x:xf numFmtId="0" fontId="35" fillId="149" borderId="6" xfId="0" applyNumberFormat="1" applyFont="1" applyFill="1" applyBorder="1" applyAlignment="1">
      <x:alignment horizontal="left" vertical="center" wrapText="1"/>
    </x:xf>
    <x:xf numFmtId="0" fontId="35" fillId="149" borderId="7" xfId="0" applyNumberFormat="1" applyFont="1" applyFill="1" applyBorder="1" applyAlignment="1">
      <x:alignment horizontal="left" vertical="center" wrapText="1"/>
    </x:xf>
    <x:xf numFmtId="0" fontId="35" fillId="149" borderId="8" xfId="0" applyNumberFormat="1" applyFont="1" applyFill="1" applyBorder="1" applyAlignment="1">
      <x:alignment horizontal="left" vertical="center" wrapText="1"/>
    </x:xf>
    <x:xf numFmtId="0" fontId="35" fillId="149" borderId="9" xfId="0" applyNumberFormat="1" applyFont="1" applyFill="1" applyBorder="1" applyAlignment="1">
      <x:alignment horizontal="left" vertical="center" wrapText="1"/>
    </x:xf>
    <x:xf numFmtId="0" fontId="35" fillId="149" borderId="0" xfId="0" applyNumberFormat="1" applyFont="1" applyFill="1" applyBorder="1" applyAlignment="1">
      <x:alignment horizontal="left" vertical="center" wrapText="1"/>
    </x:xf>
    <x:xf numFmtId="0" fontId="35" fillId="149" borderId="10" xfId="0" applyNumberFormat="1" applyFont="1" applyFill="1" applyBorder="1" applyAlignment="1">
      <x:alignment horizontal="left" vertical="center" wrapText="1"/>
    </x:xf>
    <x:xf numFmtId="0" fontId="35" fillId="149" borderId="11" xfId="0" applyNumberFormat="1" applyFont="1" applyFill="1" applyBorder="1" applyAlignment="1">
      <x:alignment horizontal="left" vertical="center" wrapText="1"/>
    </x:xf>
    <x:xf numFmtId="0" fontId="35" fillId="149" borderId="12" xfId="0" applyNumberFormat="1" applyFont="1" applyFill="1" applyBorder="1" applyAlignment="1">
      <x:alignment horizontal="left" vertical="center" wrapText="1"/>
    </x:xf>
    <x:xf numFmtId="0" fontId="35" fillId="149" borderId="13" xfId="0" applyNumberFormat="1" applyFont="1" applyFill="1" applyBorder="1" applyAlignment="1">
      <x:alignment horizontal="left" vertical="center" wrapText="1"/>
    </x:xf>
    <x:xf numFmtId="0" fontId="36" fillId="146" borderId="9" xfId="0" applyNumberFormat="1" applyFont="1" applyFill="1" applyBorder="1" applyAlignment="1">
      <x:alignment horizontal="left" vertical="center" wrapText="1"/>
    </x:xf>
    <x:xf numFmtId="0" fontId="36" fillId="146" borderId="0" xfId="0" applyNumberFormat="1" applyFont="1" applyFill="1" applyBorder="1" applyAlignment="1">
      <x:alignment horizontal="left" vertical="center" wrapText="1"/>
    </x:xf>
    <x:xf numFmtId="0" fontId="36" fillId="146" borderId="10" xfId="0" applyNumberFormat="1" applyFont="1" applyFill="1" applyBorder="1" applyAlignment="1">
      <x:alignment horizontal="left" vertical="center" wrapText="1"/>
    </x:xf>
    <x:xf numFmtId="0" fontId="36" fillId="146" borderId="11" xfId="0" applyNumberFormat="1" applyFont="1" applyFill="1" applyBorder="1" applyAlignment="1">
      <x:alignment horizontal="left" vertical="center" wrapText="1"/>
    </x:xf>
    <x:xf numFmtId="0" fontId="36" fillId="146" borderId="12" xfId="0" applyNumberFormat="1" applyFont="1" applyFill="1" applyBorder="1" applyAlignment="1">
      <x:alignment horizontal="left" vertical="center" wrapText="1"/>
    </x:xf>
    <x:xf numFmtId="0" fontId="36" fillId="146" borderId="13" xfId="0" applyNumberFormat="1" applyFont="1" applyFill="1" applyBorder="1" applyAlignment="1">
      <x:alignment horizontal="left" vertical="center" wrapText="1"/>
    </x:xf>
    <x:xf numFmtId="0" fontId="25" fillId="150" borderId="0" xfId="0" applyNumberFormat="1" applyFont="1" applyFill="1" applyBorder="1" applyAlignment="1">
      <x:alignment vertical="top" wrapText="1"/>
    </x:xf>
    <x:xf numFmtId="201" fontId="25" fillId="150" borderId="0" xfId="0" applyNumberFormat="1" applyFont="1" applyFill="1" applyBorder="1" applyAlignment="1">
      <x:alignment vertical="top" wrapText="1"/>
    </x:xf>
    <x:xf numFmtId="202" fontId="25" fillId="150" borderId="0" xfId="0" applyNumberFormat="1" applyFont="1" applyFill="1" applyBorder="1" applyAlignment="1">
      <x:alignment vertical="top" wrapText="1"/>
    </x:xf>
    <x:xf numFmtId="0" fontId="28" fillId="150" borderId="0" xfId="0" applyNumberFormat="1" applyFont="1" applyFill="1" applyBorder="1" applyAlignment="1">
      <x:alignment vertical="top" wrapText="1"/>
    </x:xf>
    <x:xf numFmtId="0" fontId="25" fillId="151" borderId="0" xfId="0" applyNumberFormat="1" applyFont="1" applyFill="1" applyBorder="1" applyAlignment="1">
      <x:alignment vertical="top" wrapText="1"/>
    </x:xf>
    <x:xf numFmtId="0" fontId="25" fillId="152" borderId="0" xfId="0" applyNumberFormat="1" applyFont="1" applyFill="1" applyBorder="1" applyAlignment="1">
      <x:alignment vertical="top" wrapText="1"/>
    </x:xf>
    <x:xf numFmtId="201" fontId="25" fillId="152" borderId="0" xfId="0" applyNumberFormat="1" applyFont="1" applyFill="1" applyBorder="1" applyAlignment="1">
      <x:alignment vertical="top" wrapText="1"/>
    </x:xf>
    <x:xf numFmtId="202" fontId="25" fillId="152" borderId="0" xfId="0" applyNumberFormat="1" applyFont="1" applyFill="1" applyBorder="1" applyAlignment="1">
      <x:alignment vertical="top" wrapText="1"/>
    </x:xf>
    <x:xf numFmtId="0" fontId="28" fillId="152" borderId="0" xfId="0" applyNumberFormat="1" applyFont="1" applyFill="1" applyBorder="1" applyAlignment="1">
      <x:alignment vertical="top" wrapText="1"/>
    </x:xf>
    <x:xf numFmtId="0" fontId="25" fillId="153" borderId="0" xfId="0" applyNumberFormat="1" applyFont="1" applyFill="1" applyBorder="1" applyAlignment="1">
      <x:alignment vertical="top" wrapText="1"/>
    </x:xf>
    <x:xf numFmtId="0" fontId="25" fillId="154" borderId="0" xfId="0" applyNumberFormat="1" applyFont="1" applyFill="1" applyBorder="1" applyAlignment="1">
      <x:alignment vertical="top" wrapText="1"/>
    </x:xf>
    <x:xf numFmtId="0" fontId="25" fillId="155" borderId="0" xfId="0" applyNumberFormat="1" applyFont="1" applyFill="1" applyBorder="1" applyAlignment="1">
      <x:alignment vertical="top" wrapText="1"/>
    </x:xf>
    <x:xf numFmtId="0" fontId="25" fillId="156" borderId="0" xfId="0" applyNumberFormat="1" applyFont="1" applyFill="1" applyBorder="1" applyAlignment="1">
      <x:alignment vertical="top" wrapText="1"/>
    </x:xf>
    <x:xf numFmtId="0" fontId="25" fillId="157" borderId="0" xfId="0" applyNumberFormat="1" applyFont="1" applyFill="1" applyBorder="1" applyAlignment="1">
      <x:alignment vertical="top" wrapText="1"/>
    </x:xf>
    <x:xf numFmtId="202" fontId="20" fillId="150" borderId="0" xfId="0" applyNumberFormat="1" applyFont="1" applyFill="1" applyBorder="1" applyAlignment="1">
      <x:alignment vertical="center" wrapText="1"/>
    </x:xf>
    <x:xf numFmtId="0" fontId="27" fillId="158" borderId="0" xfId="0" applyNumberFormat="1" applyFont="1" applyFill="1" applyBorder="1" applyAlignment="1">
      <x:alignment vertical="center" wrapText="1"/>
    </x:xf>
    <x:xf numFmtId="0" fontId="20" fillId="150" borderId="0" xfId="0" applyNumberFormat="1" applyFont="1" applyFill="1" applyBorder="1" applyAlignment="1">
      <x:alignment vertical="center" wrapText="1"/>
    </x:xf>
    <x:xf numFmtId="203" fontId="20" fillId="150" borderId="0" xfId="0" applyNumberFormat="1" applyFont="1" applyFill="1" applyBorder="1" applyAlignment="1">
      <x:alignment vertical="center" wrapText="1"/>
    </x:xf>
    <x:xf numFmtId="0" fontId="27" fillId="150" borderId="0" xfId="0" applyNumberFormat="1" applyFont="1" applyFill="1" applyBorder="1" applyAlignment="1">
      <x:alignment vertical="center" wrapText="1"/>
    </x:xf>
    <x:xf numFmtId="0" fontId="0" fillId="150" borderId="0" xfId="0" applyNumberFormat="1" applyFont="1" applyFill="1" applyBorder="1"/>
    <x:xf numFmtId="203" fontId="25" fillId="150" borderId="0" xfId="0" applyNumberFormat="1" applyFont="1" applyFill="1" applyBorder="1" applyAlignment="1">
      <x:alignment vertical="top" wrapText="1"/>
    </x:xf>
    <x:xf numFmtId="0" fontId="29" fillId="150" borderId="0" xfId="0" applyNumberFormat="1" applyFont="1" applyFill="1" applyBorder="1" applyAlignment="1">
      <x:alignment vertical="center" wrapText="1"/>
    </x:xf>
    <x:xf numFmtId="0" fontId="30" fillId="150" borderId="0" xfId="0" applyNumberFormat="1" applyFont="1" applyFill="1" applyBorder="1" applyAlignment="1">
      <x:alignment vertical="center" wrapText="1"/>
    </x:xf>
    <x:xf numFmtId="0" fontId="43" fillId="16" borderId="0" xfId="0" applyNumberFormat="1" applyFont="1" applyFill="1" applyBorder="1" applyAlignment="1">
      <x:alignment vertical="center" wrapText="1"/>
    </x:xf>
    <x:xf numFmtId="202" fontId="43" fillId="6" borderId="0" xfId="0" applyNumberFormat="1" applyFont="1" applyFill="1" applyBorder="1" applyAlignment="1">
      <x:alignment vertical="center" wrapText="1"/>
    </x:xf>
    <x:xf numFmtId="0" fontId="43" fillId="6" borderId="0" xfId="0" applyNumberFormat="1" applyFont="1" applyFill="1" applyBorder="1" applyAlignment="1">
      <x:alignment vertical="top" wrapText="1"/>
    </x:xf>
    <x:xf numFmtId="203" fontId="43" fillId="6" borderId="0" xfId="0" applyNumberFormat="1" applyFont="1" applyFill="1" applyBorder="1" applyAlignment="1">
      <x:alignment vertical="top" wrapText="1"/>
    </x:xf>
    <x:xf numFmtId="202" fontId="43" fillId="6" borderId="0" xfId="0" applyNumberFormat="1" applyFont="1" applyFill="1" applyBorder="1" applyAlignment="1">
      <x:alignment vertical="top" wrapText="1"/>
    </x:xf>
    <x:xf numFmtId="0" fontId="43" fillId="30" borderId="0" xfId="0" applyNumberFormat="1" applyFont="1" applyFill="1" applyBorder="1" applyAlignment="1">
      <x:alignment vertical="top" wrapText="1"/>
    </x:xf>
    <x:xf numFmtId="0" fontId="43" fillId="18" borderId="0" xfId="0" applyNumberFormat="1" applyFont="1" applyFill="1" applyBorder="1" applyAlignment="1">
      <x:alignment vertical="top" wrapText="1"/>
    </x:xf>
    <x:xf numFmtId="0" fontId="43" fillId="17" borderId="0" xfId="0" applyNumberFormat="1" applyFont="1" applyFill="1" applyBorder="1" applyAlignment="1">
      <x:alignment vertical="top" wrapText="1"/>
    </x:xf>
    <x:xf numFmtId="203" fontId="43" fillId="17" borderId="0" xfId="0" applyNumberFormat="1" applyFont="1" applyFill="1" applyBorder="1" applyAlignment="1">
      <x:alignment vertical="top" wrapText="1"/>
    </x:xf>
    <x:xf numFmtId="0" fontId="43" fillId="6" borderId="0" xfId="0" applyNumberFormat="1" applyFont="1" applyFill="1" applyBorder="1" applyAlignment="1">
      <x:alignment vertical="center" wrapText="1"/>
    </x:xf>
    <x:xf numFmtId="203" fontId="43" fillId="6" borderId="0" xfId="0" applyNumberFormat="1" applyFont="1" applyFill="1" applyBorder="1" applyAlignment="1">
      <x:alignment vertical="center" wrapText="1"/>
    </x:xf>
    <x:xf numFmtId="0" fontId="43" fillId="6" borderId="0" xfId="0" applyNumberFormat="1" applyFont="1" applyFill="1" applyBorder="1"/>
    <x:xf numFmtId="0" fontId="43" fillId="6" borderId="0" xfId="0" applyNumberFormat="1" applyFont="1" applyFill="1" applyBorder="1" applyAlignment="1">
      <x:alignment wrapText="1"/>
    </x:xf>
    <x:xf numFmtId="0" fontId="43" fillId="16" borderId="0" xfId="0" applyNumberFormat="1" applyFont="1" applyFill="1" applyBorder="1" applyAlignment="1">
      <x:alignment vertical="top" wrapText="1"/>
    </x:xf>
    <x:xf numFmtId="0" fontId="43" fillId="159" borderId="0" xfId="0" applyNumberFormat="1" applyFont="1" applyFill="1" applyBorder="1" applyAlignment="1">
      <x:alignment vertical="top" wrapText="1"/>
    </x:xf>
    <x:xf numFmtId="202" fontId="43" fillId="159" borderId="0" xfId="0" applyNumberFormat="1" applyFont="1" applyFill="1" applyBorder="1" applyAlignment="1">
      <x:alignment vertical="top" wrapText="1"/>
    </x:xf>
    <x:xf numFmtId="0" fontId="20" fillId="159" borderId="0" xfId="0" applyNumberFormat="1" applyFont="1" applyFill="1" applyBorder="1" applyAlignment="1">
      <x:alignment vertical="top" wrapText="1"/>
    </x:xf>
    <x:xf numFmtId="202" fontId="20" fillId="159" borderId="0" xfId="0" applyNumberFormat="1" applyFont="1" applyFill="1" applyBorder="1" applyAlignment="1">
      <x:alignment vertical="top" wrapText="1"/>
    </x:xf>
    <x:xf numFmtId="0" fontId="20" fillId="159" borderId="0" xfId="0" applyNumberFormat="1" applyFont="1" applyFill="1" applyBorder="1" applyAlignment="1">
      <x:alignment vertical="center" wrapText="1"/>
    </x:xf>
    <x:xf numFmtId="202" fontId="20" fillId="159" borderId="0" xfId="0" applyNumberFormat="1" applyFont="1" applyFill="1" applyBorder="1" applyAlignment="1">
      <x:alignment vertical="center" wrapText="1"/>
    </x:xf>
    <x:xf numFmtId="0" fontId="43" fillId="150" borderId="0" xfId="0" applyNumberFormat="1" applyFont="1" applyFill="1" applyBorder="1" applyAlignment="1">
      <x:alignment vertical="top" wrapText="1"/>
    </x:xf>
    <x:xf numFmtId="203" fontId="43" fillId="150" borderId="0" xfId="0" applyNumberFormat="1" applyFont="1" applyFill="1" applyBorder="1" applyAlignment="1">
      <x:alignment vertical="top" wrapText="1"/>
    </x:xf>
    <x:xf numFmtId="202" fontId="43" fillId="150" borderId="0" xfId="0" applyNumberFormat="1" applyFont="1" applyFill="1" applyBorder="1" applyAlignment="1">
      <x:alignment vertical="top" wrapText="1"/>
    </x:xf>
    <x:xf numFmtId="0" fontId="43" fillId="152" borderId="0" xfId="0" applyNumberFormat="1" applyFont="1" applyFill="1" applyBorder="1" applyAlignment="1">
      <x:alignment vertical="top" wrapText="1"/>
    </x:xf>
    <x:xf numFmtId="203" fontId="43" fillId="152" borderId="0" xfId="0" applyNumberFormat="1" applyFont="1" applyFill="1" applyBorder="1" applyAlignment="1">
      <x:alignment vertical="top" wrapText="1"/>
    </x:xf>
    <x:xf numFmtId="202" fontId="43" fillId="152" borderId="0" xfId="0" applyNumberFormat="1" applyFont="1" applyFill="1" applyBorder="1" applyAlignment="1">
      <x:alignment vertical="top" wrapText="1"/>
    </x:xf>
    <x:xf numFmtId="0" fontId="44" fillId="150" borderId="0" xfId="0" applyNumberFormat="1" applyFont="1" applyFill="1" applyBorder="1" applyAlignment="1">
      <x:alignment vertical="top" wrapText="1"/>
    </x:xf>
    <x:xf numFmtId="0" fontId="44" fillId="152" borderId="0" xfId="0" applyNumberFormat="1" applyFont="1" applyFill="1" applyBorder="1" applyAlignment="1">
      <x:alignment vertical="top" wrapText="1"/>
    </x:xf>
    <x:xf numFmtId="0" fontId="43" fillId="160" borderId="0" xfId="0" applyNumberFormat="1" applyFont="1" applyFill="1" applyBorder="1" applyAlignment="1">
      <x:alignment vertical="top" wrapText="1"/>
    </x:xf>
    <x:xf numFmtId="0" fontId="43" fillId="157" borderId="0" xfId="0" applyNumberFormat="1" applyFont="1" applyFill="1" applyBorder="1" applyAlignment="1">
      <x:alignment vertical="top" wrapText="1"/>
    </x:xf>
    <x:xf numFmtId="0" fontId="27" fillId="159" borderId="0" xfId="0" applyNumberFormat="1" applyFont="1" applyFill="1" applyBorder="1" applyAlignment="1">
      <x:alignment vertical="center" wrapText="1"/>
    </x:xf>
    <x:xf numFmtId="203" fontId="25" fillId="159" borderId="0" xfId="0" applyNumberFormat="1" applyFont="1" applyFill="1" applyBorder="1" applyAlignment="1">
      <x:alignment vertical="top" wrapText="1"/>
    </x:xf>
    <x:xf numFmtId="203" fontId="20" fillId="159" borderId="0" xfId="0" applyNumberFormat="1" applyFont="1" applyFill="1" applyBorder="1" applyAlignment="1">
      <x:alignment vertical="top" wrapText="1"/>
    </x:xf>
    <x:xf numFmtId="203" fontId="20" fillId="159" borderId="0" xfId="0" applyNumberFormat="1" applyFont="1" applyFill="1" applyBorder="1" applyAlignment="1">
      <x:alignment vertical="center" wrapText="1"/>
    </x:xf>
    <x:xf numFmtId="0" fontId="27" fillId="150" borderId="0" xfId="0" applyNumberFormat="1" applyFont="1" applyFill="1" applyBorder="1" applyAlignment="1">
      <x:alignment vertical="top" wrapText="1"/>
    </x:xf>
    <x:xf numFmtId="0" fontId="25" fillId="158" borderId="0" xfId="0" applyNumberFormat="1" applyFont="1" applyFill="1" applyBorder="1" applyAlignment="1">
      <x:alignment vertical="top" wrapText="1"/>
    </x:xf>
    <x:xf numFmtId="0" fontId="27" fillId="158" borderId="0" xfId="0" applyNumberFormat="1" applyFont="1" applyFill="1" applyBorder="1" applyAlignment="1">
      <x:alignment vertical="top" wrapText="1"/>
    </x:xf>
    <x:xf numFmtId="0" fontId="30" fillId="150" borderId="0" xfId="0" applyNumberFormat="1" applyFont="1" applyFill="1" applyBorder="1" applyAlignment="1">
      <x:alignment vertical="top" wrapText="1"/>
    </x:xf>
    <x:xf numFmtId="0" fontId="26" fillId="150" borderId="0" xfId="0" applyNumberFormat="1" applyFont="1" applyFill="1" applyBorder="1" applyAlignment="1">
      <x:alignment vertical="center" wrapText="1"/>
    </x:xf>
    <x:xf numFmtId="0" fontId="27" fillId="161" borderId="0" xfId="0" applyNumberFormat="1" applyFont="1" applyFill="1" applyBorder="1" applyAlignment="1">
      <x:alignment vertical="top" wrapText="1"/>
    </x:xf>
    <x:xf numFmtId="0" fontId="26" fillId="161" borderId="0" xfId="0" applyNumberFormat="1" applyFont="1" applyFill="1" applyBorder="1" applyAlignment="1">
      <x:alignment vertical="top" wrapText="1"/>
    </x:xf>
    <x:xf numFmtId="0" fontId="26" fillId="161" borderId="0" xfId="0" applyNumberFormat="1" applyFont="1" applyFill="1" applyBorder="1" applyAlignment="1">
      <x:alignment vertical="center" wrapText="1"/>
    </x:xf>
    <x:xf numFmtId="0" fontId="27" fillId="159" borderId="0" xfId="0" applyNumberFormat="1" applyFont="1" applyFill="1" applyBorder="1" applyAlignment="1">
      <x:alignment vertical="top" wrapText="1"/>
    </x:xf>
    <x:xf numFmtId="0" fontId="20" fillId="162" borderId="1" xfId="0" applyNumberFormat="1" applyFont="1" applyFill="1" applyBorder="1" applyAlignment="1">
      <x:alignment horizontal="left" vertical="center" wrapText="1"/>
    </x:xf>
    <x:xf numFmtId="165" fontId="34" fillId="162" borderId="1" xfId="0" applyNumberFormat="1" applyFont="1" applyFill="1" applyBorder="1" applyAlignment="1">
      <x:alignment horizontal="left" vertical="center" wrapText="1"/>
    </x:xf>
    <x:xf numFmtId="166" fontId="34" fillId="162" borderId="1" xfId="0" applyNumberFormat="1" applyFont="1" applyFill="1" applyBorder="1" applyAlignment="1">
      <x:alignment horizontal="left" vertical="center" wrapText="1"/>
    </x:xf>
    <x:xf numFmtId="0" fontId="34" fillId="162" borderId="1" xfId="0" applyNumberFormat="1" applyFont="1" applyFill="1" applyBorder="1" applyAlignment="1">
      <x:alignment horizontal="left" vertical="center" wrapText="1"/>
    </x:xf>
    <x:xf numFmtId="0" fontId="34" fillId="162" borderId="0" xfId="0" applyNumberFormat="1" applyFont="1" applyFill="1" applyBorder="1" applyAlignment="1">
      <x:alignment horizontal="left" vertical="center" wrapText="1"/>
    </x:xf>
    <x:xf numFmtId="167" fontId="34" fillId="162" borderId="1" xfId="0" applyNumberFormat="1" applyFont="1" applyFill="1" applyBorder="1" applyAlignment="1">
      <x:alignment horizontal="left" vertical="center" wrapText="1"/>
    </x:xf>
    <x:xf numFmtId="168" fontId="34" fillId="162" borderId="1" xfId="0" applyNumberFormat="1" applyFont="1" applyFill="1" applyBorder="1" applyAlignment="1">
      <x:alignment horizontal="left" vertical="center" wrapText="1"/>
    </x:xf>
    <x:xf numFmtId="170" fontId="34" fillId="162" borderId="1" xfId="0" applyNumberFormat="1" applyFont="1" applyFill="1" applyBorder="1" applyAlignment="1">
      <x:alignment horizontal="left" vertical="center" wrapText="1"/>
    </x:xf>
    <x:xf numFmtId="0" fontId="35" fillId="162" borderId="6" xfId="0" applyNumberFormat="1" applyFont="1" applyFill="1" applyBorder="1" applyAlignment="1">
      <x:alignment horizontal="left" vertical="center" wrapText="1"/>
    </x:xf>
    <x:xf numFmtId="0" fontId="35" fillId="162" borderId="7" xfId="0" applyNumberFormat="1" applyFont="1" applyFill="1" applyBorder="1" applyAlignment="1">
      <x:alignment horizontal="left" vertical="center" wrapText="1"/>
    </x:xf>
    <x:xf numFmtId="0" fontId="35" fillId="162" borderId="8" xfId="0" applyNumberFormat="1" applyFont="1" applyFill="1" applyBorder="1" applyAlignment="1">
      <x:alignment horizontal="left" vertical="center" wrapText="1"/>
    </x:xf>
    <x:xf numFmtId="0" fontId="35" fillId="162" borderId="9" xfId="0" applyNumberFormat="1" applyFont="1" applyFill="1" applyBorder="1" applyAlignment="1">
      <x:alignment horizontal="left" vertical="center" wrapText="1"/>
    </x:xf>
    <x:xf numFmtId="0" fontId="35" fillId="162" borderId="0" xfId="0" applyNumberFormat="1" applyFont="1" applyFill="1" applyBorder="1" applyAlignment="1">
      <x:alignment horizontal="left" vertical="center" wrapText="1"/>
    </x:xf>
    <x:xf numFmtId="0" fontId="35" fillId="162" borderId="10" xfId="0" applyNumberFormat="1" applyFont="1" applyFill="1" applyBorder="1" applyAlignment="1">
      <x:alignment horizontal="left" vertical="center" wrapText="1"/>
    </x:xf>
    <x:xf numFmtId="0" fontId="35" fillId="162" borderId="11" xfId="0" applyNumberFormat="1" applyFont="1" applyFill="1" applyBorder="1" applyAlignment="1">
      <x:alignment horizontal="left" vertical="center" wrapText="1"/>
    </x:xf>
    <x:xf numFmtId="0" fontId="35" fillId="162" borderId="12" xfId="0" applyNumberFormat="1" applyFont="1" applyFill="1" applyBorder="1" applyAlignment="1">
      <x:alignment horizontal="left" vertical="center" wrapText="1"/>
    </x:xf>
    <x:xf numFmtId="0" fontId="35" fillId="162" borderId="13" xfId="0" applyNumberFormat="1" applyFont="1" applyFill="1" applyBorder="1" applyAlignment="1">
      <x:alignment horizontal="left" vertical="center" wrapText="1"/>
    </x:xf>
    <x:xf numFmtId="0" fontId="36" fillId="159" borderId="9" xfId="0" applyNumberFormat="1" applyFont="1" applyFill="1" applyBorder="1" applyAlignment="1">
      <x:alignment horizontal="left" vertical="center" wrapText="1"/>
    </x:xf>
    <x:xf numFmtId="0" fontId="36" fillId="159" borderId="0" xfId="0" applyNumberFormat="1" applyFont="1" applyFill="1" applyBorder="1" applyAlignment="1">
      <x:alignment horizontal="left" vertical="center" wrapText="1"/>
    </x:xf>
    <x:xf numFmtId="0" fontId="36" fillId="159" borderId="10" xfId="0" applyNumberFormat="1" applyFont="1" applyFill="1" applyBorder="1" applyAlignment="1">
      <x:alignment horizontal="left" vertical="center" wrapText="1"/>
    </x:xf>
    <x:xf numFmtId="0" fontId="36" fillId="159" borderId="11" xfId="0" applyNumberFormat="1" applyFont="1" applyFill="1" applyBorder="1" applyAlignment="1">
      <x:alignment horizontal="left" vertical="center" wrapText="1"/>
    </x:xf>
    <x:xf numFmtId="0" fontId="36" fillId="159" borderId="12" xfId="0" applyNumberFormat="1" applyFont="1" applyFill="1" applyBorder="1" applyAlignment="1">
      <x:alignment horizontal="left" vertical="center" wrapText="1"/>
    </x:xf>
    <x:xf numFmtId="0" fontId="36" fillId="159" borderId="13" xfId="0" applyNumberFormat="1" applyFont="1" applyFill="1" applyBorder="1" applyAlignment="1">
      <x:alignment horizontal="left" vertical="center" wrapText="1"/>
    </x:xf>
    <x:xf numFmtId="0" fontId="25" fillId="163" borderId="0" xfId="0" applyNumberFormat="1" applyFont="1" applyFill="1" applyBorder="1" applyAlignment="1">
      <x:alignment vertical="top" wrapText="1"/>
    </x:xf>
    <x:xf numFmtId="201" fontId="25" fillId="163" borderId="0" xfId="0" applyNumberFormat="1" applyFont="1" applyFill="1" applyBorder="1" applyAlignment="1">
      <x:alignment vertical="top" wrapText="1"/>
    </x:xf>
    <x:xf numFmtId="202" fontId="25" fillId="163" borderId="0" xfId="0" applyNumberFormat="1" applyFont="1" applyFill="1" applyBorder="1" applyAlignment="1">
      <x:alignment vertical="top" wrapText="1"/>
    </x:xf>
    <x:xf numFmtId="0" fontId="28" fillId="163" borderId="0" xfId="0" applyNumberFormat="1" applyFont="1" applyFill="1" applyBorder="1" applyAlignment="1">
      <x:alignment vertical="top" wrapText="1"/>
    </x:xf>
    <x:xf numFmtId="0" fontId="25" fillId="164" borderId="0" xfId="0" applyNumberFormat="1" applyFont="1" applyFill="1" applyBorder="1" applyAlignment="1">
      <x:alignment vertical="top" wrapText="1"/>
    </x:xf>
    <x:xf numFmtId="0" fontId="25" fillId="165" borderId="0" xfId="0" applyNumberFormat="1" applyFont="1" applyFill="1" applyBorder="1" applyAlignment="1">
      <x:alignment vertical="top" wrapText="1"/>
    </x:xf>
    <x:xf numFmtId="201" fontId="25" fillId="165" borderId="0" xfId="0" applyNumberFormat="1" applyFont="1" applyFill="1" applyBorder="1" applyAlignment="1">
      <x:alignment vertical="top" wrapText="1"/>
    </x:xf>
    <x:xf numFmtId="202" fontId="25" fillId="165" borderId="0" xfId="0" applyNumberFormat="1" applyFont="1" applyFill="1" applyBorder="1" applyAlignment="1">
      <x:alignment vertical="top" wrapText="1"/>
    </x:xf>
    <x:xf numFmtId="0" fontId="28" fillId="165" borderId="0" xfId="0" applyNumberFormat="1" applyFont="1" applyFill="1" applyBorder="1" applyAlignment="1">
      <x:alignment vertical="top" wrapText="1"/>
    </x:xf>
    <x:xf numFmtId="0" fontId="25" fillId="166" borderId="0" xfId="0" applyNumberFormat="1" applyFont="1" applyFill="1" applyBorder="1" applyAlignment="1">
      <x:alignment vertical="top" wrapText="1"/>
    </x:xf>
    <x:xf numFmtId="0" fontId="25" fillId="167" borderId="0" xfId="0" applyNumberFormat="1" applyFont="1" applyFill="1" applyBorder="1" applyAlignment="1">
      <x:alignment vertical="top" wrapText="1"/>
    </x:xf>
    <x:xf numFmtId="0" fontId="25" fillId="168" borderId="0" xfId="0" applyNumberFormat="1" applyFont="1" applyFill="1" applyBorder="1" applyAlignment="1">
      <x:alignment vertical="top" wrapText="1"/>
    </x:xf>
    <x:xf numFmtId="0" fontId="25" fillId="169" borderId="0" xfId="0" applyNumberFormat="1" applyFont="1" applyFill="1" applyBorder="1" applyAlignment="1">
      <x:alignment vertical="top" wrapText="1"/>
    </x:xf>
    <x:xf numFmtId="0" fontId="25" fillId="170" borderId="0" xfId="0" applyNumberFormat="1" applyFont="1" applyFill="1" applyBorder="1" applyAlignment="1">
      <x:alignment vertical="top" wrapText="1"/>
    </x:xf>
    <x:xf numFmtId="202" fontId="20" fillId="163" borderId="0" xfId="0" applyNumberFormat="1" applyFont="1" applyFill="1" applyBorder="1" applyAlignment="1">
      <x:alignment vertical="center" wrapText="1"/>
    </x:xf>
    <x:xf numFmtId="0" fontId="27" fillId="171" borderId="0" xfId="0" applyNumberFormat="1" applyFont="1" applyFill="1" applyBorder="1" applyAlignment="1">
      <x:alignment vertical="center" wrapText="1"/>
    </x:xf>
    <x:xf numFmtId="0" fontId="20" fillId="163" borderId="0" xfId="0" applyNumberFormat="1" applyFont="1" applyFill="1" applyBorder="1" applyAlignment="1">
      <x:alignment vertical="center" wrapText="1"/>
    </x:xf>
    <x:xf numFmtId="203" fontId="20" fillId="163" borderId="0" xfId="0" applyNumberFormat="1" applyFont="1" applyFill="1" applyBorder="1" applyAlignment="1">
      <x:alignment vertical="center" wrapText="1"/>
    </x:xf>
    <x:xf numFmtId="0" fontId="27" fillId="163" borderId="0" xfId="0" applyNumberFormat="1" applyFont="1" applyFill="1" applyBorder="1" applyAlignment="1">
      <x:alignment vertical="center" wrapText="1"/>
    </x:xf>
    <x:xf numFmtId="0" fontId="0" fillId="163" borderId="0" xfId="0" applyNumberFormat="1" applyFont="1" applyFill="1" applyBorder="1"/>
    <x:xf numFmtId="0" fontId="29" fillId="163" borderId="0" xfId="0" applyNumberFormat="1" applyFont="1" applyFill="1" applyBorder="1" applyAlignment="1">
      <x:alignment vertical="center" wrapText="1"/>
    </x:xf>
    <x:xf numFmtId="0" fontId="30" fillId="163" borderId="0" xfId="0" applyNumberFormat="1" applyFont="1" applyFill="1" applyBorder="1" applyAlignment="1">
      <x:alignment vertical="center" wrapText="1"/>
    </x:xf>
    <x:xf numFmtId="0" fontId="45" fillId="16" borderId="0" xfId="0" applyNumberFormat="1" applyFont="1" applyFill="1" applyBorder="1" applyAlignment="1">
      <x:alignment vertical="center" wrapText="1"/>
    </x:xf>
    <x:xf numFmtId="202" fontId="45" fillId="6" borderId="0" xfId="0" applyNumberFormat="1" applyFont="1" applyFill="1" applyBorder="1" applyAlignment="1">
      <x:alignment vertical="center" wrapText="1"/>
    </x:xf>
    <x:xf numFmtId="0" fontId="45" fillId="6" borderId="0" xfId="0" applyNumberFormat="1" applyFont="1" applyFill="1" applyBorder="1" applyAlignment="1">
      <x:alignment vertical="top" wrapText="1"/>
    </x:xf>
    <x:xf numFmtId="203" fontId="45" fillId="6" borderId="0" xfId="0" applyNumberFormat="1" applyFont="1" applyFill="1" applyBorder="1" applyAlignment="1">
      <x:alignment vertical="top" wrapText="1"/>
    </x:xf>
    <x:xf numFmtId="202" fontId="45" fillId="6" borderId="0" xfId="0" applyNumberFormat="1" applyFont="1" applyFill="1" applyBorder="1" applyAlignment="1">
      <x:alignment vertical="top" wrapText="1"/>
    </x:xf>
    <x:xf numFmtId="0" fontId="45" fillId="30" borderId="0" xfId="0" applyNumberFormat="1" applyFont="1" applyFill="1" applyBorder="1" applyAlignment="1">
      <x:alignment vertical="top" wrapText="1"/>
    </x:xf>
    <x:xf numFmtId="0" fontId="45" fillId="18" borderId="0" xfId="0" applyNumberFormat="1" applyFont="1" applyFill="1" applyBorder="1" applyAlignment="1">
      <x:alignment vertical="top" wrapText="1"/>
    </x:xf>
    <x:xf numFmtId="0" fontId="45" fillId="17" borderId="0" xfId="0" applyNumberFormat="1" applyFont="1" applyFill="1" applyBorder="1" applyAlignment="1">
      <x:alignment vertical="top" wrapText="1"/>
    </x:xf>
    <x:xf numFmtId="203" fontId="45" fillId="17" borderId="0" xfId="0" applyNumberFormat="1" applyFont="1" applyFill="1" applyBorder="1" applyAlignment="1">
      <x:alignment vertical="top" wrapText="1"/>
    </x:xf>
    <x:xf numFmtId="0" fontId="45" fillId="6" borderId="0" xfId="0" applyNumberFormat="1" applyFont="1" applyFill="1" applyBorder="1" applyAlignment="1">
      <x:alignment vertical="center" wrapText="1"/>
    </x:xf>
    <x:xf numFmtId="203" fontId="45" fillId="6" borderId="0" xfId="0" applyNumberFormat="1" applyFont="1" applyFill="1" applyBorder="1" applyAlignment="1">
      <x:alignment vertical="center" wrapText="1"/>
    </x:xf>
    <x:xf numFmtId="0" fontId="45" fillId="6" borderId="0" xfId="0" applyNumberFormat="1" applyFont="1" applyFill="1" applyBorder="1"/>
    <x:xf numFmtId="0" fontId="45" fillId="6" borderId="0" xfId="0" applyNumberFormat="1" applyFont="1" applyFill="1" applyBorder="1" applyAlignment="1">
      <x:alignment wrapText="1"/>
    </x:xf>
    <x:xf numFmtId="0" fontId="45" fillId="16" borderId="0" xfId="0" applyNumberFormat="1" applyFont="1" applyFill="1" applyBorder="1" applyAlignment="1">
      <x:alignment vertical="top" wrapText="1"/>
    </x:xf>
    <x:xf numFmtId="0" fontId="45" fillId="172" borderId="0" xfId="0" applyNumberFormat="1" applyFont="1" applyFill="1" applyBorder="1" applyAlignment="1">
      <x:alignment vertical="top" wrapText="1"/>
    </x:xf>
    <x:xf numFmtId="202" fontId="45" fillId="172" borderId="0" xfId="0" applyNumberFormat="1" applyFont="1" applyFill="1" applyBorder="1" applyAlignment="1">
      <x:alignment vertical="top" wrapText="1"/>
    </x:xf>
    <x:xf numFmtId="0" fontId="20" fillId="172" borderId="0" xfId="0" applyNumberFormat="1" applyFont="1" applyFill="1" applyBorder="1" applyAlignment="1">
      <x:alignment vertical="top" wrapText="1"/>
    </x:xf>
    <x:xf numFmtId="202" fontId="20" fillId="172" borderId="0" xfId="0" applyNumberFormat="1" applyFont="1" applyFill="1" applyBorder="1" applyAlignment="1">
      <x:alignment vertical="top" wrapText="1"/>
    </x:xf>
    <x:xf numFmtId="0" fontId="20" fillId="172" borderId="0" xfId="0" applyNumberFormat="1" applyFont="1" applyFill="1" applyBorder="1" applyAlignment="1">
      <x:alignment vertical="center" wrapText="1"/>
    </x:xf>
    <x:xf numFmtId="202" fontId="20" fillId="172" borderId="0" xfId="0" applyNumberFormat="1" applyFont="1" applyFill="1" applyBorder="1" applyAlignment="1">
      <x:alignment vertical="center" wrapText="1"/>
    </x:xf>
    <x:xf numFmtId="0" fontId="45" fillId="163" borderId="0" xfId="0" applyNumberFormat="1" applyFont="1" applyFill="1" applyBorder="1" applyAlignment="1">
      <x:alignment vertical="top" wrapText="1"/>
    </x:xf>
    <x:xf numFmtId="203" fontId="45" fillId="163" borderId="0" xfId="0" applyNumberFormat="1" applyFont="1" applyFill="1" applyBorder="1" applyAlignment="1">
      <x:alignment vertical="top" wrapText="1"/>
    </x:xf>
    <x:xf numFmtId="202" fontId="45" fillId="163" borderId="0" xfId="0" applyNumberFormat="1" applyFont="1" applyFill="1" applyBorder="1" applyAlignment="1">
      <x:alignment vertical="top" wrapText="1"/>
    </x:xf>
    <x:xf numFmtId="0" fontId="45" fillId="165" borderId="0" xfId="0" applyNumberFormat="1" applyFont="1" applyFill="1" applyBorder="1" applyAlignment="1">
      <x:alignment vertical="top" wrapText="1"/>
    </x:xf>
    <x:xf numFmtId="203" fontId="45" fillId="165" borderId="0" xfId="0" applyNumberFormat="1" applyFont="1" applyFill="1" applyBorder="1" applyAlignment="1">
      <x:alignment vertical="top" wrapText="1"/>
    </x:xf>
    <x:xf numFmtId="202" fontId="45" fillId="165" borderId="0" xfId="0" applyNumberFormat="1" applyFont="1" applyFill="1" applyBorder="1" applyAlignment="1">
      <x:alignment vertical="top" wrapText="1"/>
    </x:xf>
    <x:xf numFmtId="0" fontId="46" fillId="163" borderId="0" xfId="0" applyNumberFormat="1" applyFont="1" applyFill="1" applyBorder="1" applyAlignment="1">
      <x:alignment vertical="top" wrapText="1"/>
    </x:xf>
    <x:xf numFmtId="0" fontId="46" fillId="165" borderId="0" xfId="0" applyNumberFormat="1" applyFont="1" applyFill="1" applyBorder="1" applyAlignment="1">
      <x:alignment vertical="top" wrapText="1"/>
    </x:xf>
    <x:xf numFmtId="0" fontId="45" fillId="173" borderId="0" xfId="0" applyNumberFormat="1" applyFont="1" applyFill="1" applyBorder="1" applyAlignment="1">
      <x:alignment vertical="top" wrapText="1"/>
    </x:xf>
    <x:xf numFmtId="0" fontId="45" fillId="170" borderId="0" xfId="0" applyNumberFormat="1" applyFont="1" applyFill="1" applyBorder="1" applyAlignment="1">
      <x:alignment vertical="top" wrapText="1"/>
    </x:xf>
    <x:xf numFmtId="0" fontId="27" fillId="172" borderId="0" xfId="0" applyNumberFormat="1" applyFont="1" applyFill="1" applyBorder="1" applyAlignment="1">
      <x:alignment vertical="center" wrapText="1"/>
    </x:xf>
    <x:xf numFmtId="0" fontId="25" fillId="172" borderId="0" xfId="0" applyNumberFormat="1" applyFont="1" applyFill="1" applyBorder="1" applyAlignment="1">
      <x:alignment vertical="top" wrapText="1"/>
    </x:xf>
    <x:xf numFmtId="0" fontId="27" fillId="163" borderId="0" xfId="0" applyNumberFormat="1" applyFont="1" applyFill="1" applyBorder="1" applyAlignment="1">
      <x:alignment vertical="top" wrapText="1"/>
    </x:xf>
    <x:xf numFmtId="0" fontId="25" fillId="171" borderId="0" xfId="0" applyNumberFormat="1" applyFont="1" applyFill="1" applyBorder="1" applyAlignment="1">
      <x:alignment vertical="top" wrapText="1"/>
    </x:xf>
    <x:xf numFmtId="0" fontId="27" fillId="171" borderId="0" xfId="0" applyNumberFormat="1" applyFont="1" applyFill="1" applyBorder="1" applyAlignment="1">
      <x:alignment vertical="top" wrapText="1"/>
    </x:xf>
    <x:xf numFmtId="0" fontId="30" fillId="163" borderId="0" xfId="0" applyNumberFormat="1" applyFont="1" applyFill="1" applyBorder="1" applyAlignment="1">
      <x:alignment vertical="top" wrapText="1"/>
    </x:xf>
    <x:xf numFmtId="0" fontId="26" fillId="163" borderId="0" xfId="0" applyNumberFormat="1" applyFont="1" applyFill="1" applyBorder="1" applyAlignment="1">
      <x:alignment vertical="center" wrapText="1"/>
    </x:xf>
    <x:xf numFmtId="0" fontId="27" fillId="174" borderId="0" xfId="0" applyNumberFormat="1" applyFont="1" applyFill="1" applyBorder="1" applyAlignment="1">
      <x:alignment vertical="top" wrapText="1"/>
    </x:xf>
    <x:xf numFmtId="0" fontId="26" fillId="174" borderId="0" xfId="0" applyNumberFormat="1" applyFont="1" applyFill="1" applyBorder="1" applyAlignment="1">
      <x:alignment vertical="top" wrapText="1"/>
    </x:xf>
    <x:xf numFmtId="0" fontId="26" fillId="174" borderId="0" xfId="0" applyNumberFormat="1" applyFont="1" applyFill="1" applyBorder="1" applyAlignment="1">
      <x:alignment vertical="center" wrapText="1"/>
    </x:xf>
    <x:xf numFmtId="0" fontId="27" fillId="172" borderId="0" xfId="0" applyNumberFormat="1" applyFont="1" applyFill="1" applyBorder="1" applyAlignment="1">
      <x:alignment vertical="top" wrapText="1"/>
    </x:xf>
    <x:xf numFmtId="0" fontId="20" fillId="175" borderId="1" xfId="0" applyNumberFormat="1" applyFont="1" applyFill="1" applyBorder="1" applyAlignment="1">
      <x:alignment horizontal="left" vertical="center" wrapText="1"/>
    </x:xf>
    <x:xf numFmtId="165" fontId="34" fillId="175" borderId="1" xfId="0" applyNumberFormat="1" applyFont="1" applyFill="1" applyBorder="1" applyAlignment="1">
      <x:alignment horizontal="left" vertical="center" wrapText="1"/>
    </x:xf>
    <x:xf numFmtId="166" fontId="34" fillId="175" borderId="1" xfId="0" applyNumberFormat="1" applyFont="1" applyFill="1" applyBorder="1" applyAlignment="1">
      <x:alignment horizontal="left" vertical="center" wrapText="1"/>
    </x:xf>
    <x:xf numFmtId="0" fontId="34" fillId="175" borderId="1" xfId="0" applyNumberFormat="1" applyFont="1" applyFill="1" applyBorder="1" applyAlignment="1">
      <x:alignment horizontal="left" vertical="center" wrapText="1"/>
    </x:xf>
    <x:xf numFmtId="0" fontId="34" fillId="175" borderId="0" xfId="0" applyNumberFormat="1" applyFont="1" applyFill="1" applyBorder="1" applyAlignment="1">
      <x:alignment horizontal="left" vertical="center" wrapText="1"/>
    </x:xf>
    <x:xf numFmtId="167" fontId="34" fillId="175" borderId="1" xfId="0" applyNumberFormat="1" applyFont="1" applyFill="1" applyBorder="1" applyAlignment="1">
      <x:alignment horizontal="left" vertical="center" wrapText="1"/>
    </x:xf>
    <x:xf numFmtId="168" fontId="34" fillId="175" borderId="1" xfId="0" applyNumberFormat="1" applyFont="1" applyFill="1" applyBorder="1" applyAlignment="1">
      <x:alignment horizontal="left" vertical="center" wrapText="1"/>
    </x:xf>
    <x:xf numFmtId="170" fontId="34" fillId="175" borderId="1" xfId="0" applyNumberFormat="1" applyFont="1" applyFill="1" applyBorder="1" applyAlignment="1">
      <x:alignment horizontal="left" vertical="center" wrapText="1"/>
    </x:xf>
    <x:xf numFmtId="0" fontId="35" fillId="175" borderId="6" xfId="0" applyNumberFormat="1" applyFont="1" applyFill="1" applyBorder="1" applyAlignment="1">
      <x:alignment horizontal="left" vertical="center" wrapText="1"/>
    </x:xf>
    <x:xf numFmtId="0" fontId="35" fillId="175" borderId="7" xfId="0" applyNumberFormat="1" applyFont="1" applyFill="1" applyBorder="1" applyAlignment="1">
      <x:alignment horizontal="left" vertical="center" wrapText="1"/>
    </x:xf>
    <x:xf numFmtId="0" fontId="35" fillId="175" borderId="8" xfId="0" applyNumberFormat="1" applyFont="1" applyFill="1" applyBorder="1" applyAlignment="1">
      <x:alignment horizontal="left" vertical="center" wrapText="1"/>
    </x:xf>
    <x:xf numFmtId="0" fontId="35" fillId="175" borderId="9" xfId="0" applyNumberFormat="1" applyFont="1" applyFill="1" applyBorder="1" applyAlignment="1">
      <x:alignment horizontal="left" vertical="center" wrapText="1"/>
    </x:xf>
    <x:xf numFmtId="0" fontId="35" fillId="175" borderId="0" xfId="0" applyNumberFormat="1" applyFont="1" applyFill="1" applyBorder="1" applyAlignment="1">
      <x:alignment horizontal="left" vertical="center" wrapText="1"/>
    </x:xf>
    <x:xf numFmtId="0" fontId="35" fillId="175" borderId="10" xfId="0" applyNumberFormat="1" applyFont="1" applyFill="1" applyBorder="1" applyAlignment="1">
      <x:alignment horizontal="left" vertical="center" wrapText="1"/>
    </x:xf>
    <x:xf numFmtId="0" fontId="35" fillId="175" borderId="11" xfId="0" applyNumberFormat="1" applyFont="1" applyFill="1" applyBorder="1" applyAlignment="1">
      <x:alignment horizontal="left" vertical="center" wrapText="1"/>
    </x:xf>
    <x:xf numFmtId="0" fontId="35" fillId="175" borderId="12" xfId="0" applyNumberFormat="1" applyFont="1" applyFill="1" applyBorder="1" applyAlignment="1">
      <x:alignment horizontal="left" vertical="center" wrapText="1"/>
    </x:xf>
    <x:xf numFmtId="0" fontId="35" fillId="175" borderId="13" xfId="0" applyNumberFormat="1" applyFont="1" applyFill="1" applyBorder="1" applyAlignment="1">
      <x:alignment horizontal="left" vertical="center" wrapText="1"/>
    </x:xf>
    <x:xf numFmtId="0" fontId="36" fillId="172" borderId="9" xfId="0" applyNumberFormat="1" applyFont="1" applyFill="1" applyBorder="1" applyAlignment="1">
      <x:alignment horizontal="left" vertical="center" wrapText="1"/>
    </x:xf>
    <x:xf numFmtId="0" fontId="36" fillId="172" borderId="0" xfId="0" applyNumberFormat="1" applyFont="1" applyFill="1" applyBorder="1" applyAlignment="1">
      <x:alignment horizontal="left" vertical="center" wrapText="1"/>
    </x:xf>
    <x:xf numFmtId="0" fontId="36" fillId="172" borderId="10" xfId="0" applyNumberFormat="1" applyFont="1" applyFill="1" applyBorder="1" applyAlignment="1">
      <x:alignment horizontal="left" vertical="center" wrapText="1"/>
    </x:xf>
    <x:xf numFmtId="0" fontId="36" fillId="172" borderId="11" xfId="0" applyNumberFormat="1" applyFont="1" applyFill="1" applyBorder="1" applyAlignment="1">
      <x:alignment horizontal="left" vertical="center" wrapText="1"/>
    </x:xf>
    <x:xf numFmtId="0" fontId="36" fillId="172" borderId="12" xfId="0" applyNumberFormat="1" applyFont="1" applyFill="1" applyBorder="1" applyAlignment="1">
      <x:alignment horizontal="left" vertical="center" wrapText="1"/>
    </x:xf>
    <x:xf numFmtId="0" fontId="36" fillId="172" borderId="13" xfId="0" applyNumberFormat="1" applyFont="1" applyFill="1" applyBorder="1" applyAlignment="1">
      <x:alignment horizontal="left" vertical="center" wrapText="1"/>
    </x:xf>
    <x:xf numFmtId="0" fontId="25" fillId="176" borderId="0" xfId="0" applyNumberFormat="1" applyFont="1" applyFill="1" applyBorder="1" applyAlignment="1">
      <x:alignment vertical="top" wrapText="1"/>
    </x:xf>
    <x:xf numFmtId="201" fontId="25" fillId="176" borderId="0" xfId="0" applyNumberFormat="1" applyFont="1" applyFill="1" applyBorder="1" applyAlignment="1">
      <x:alignment vertical="top" wrapText="1"/>
    </x:xf>
    <x:xf numFmtId="202" fontId="25" fillId="176" borderId="0" xfId="0" applyNumberFormat="1" applyFont="1" applyFill="1" applyBorder="1" applyAlignment="1">
      <x:alignment vertical="top" wrapText="1"/>
    </x:xf>
    <x:xf numFmtId="0" fontId="28" fillId="176" borderId="0" xfId="0" applyNumberFormat="1" applyFont="1" applyFill="1" applyBorder="1" applyAlignment="1">
      <x:alignment vertical="top" wrapText="1"/>
    </x:xf>
    <x:xf numFmtId="0" fontId="25" fillId="177" borderId="0" xfId="0" applyNumberFormat="1" applyFont="1" applyFill="1" applyBorder="1" applyAlignment="1">
      <x:alignment vertical="top" wrapText="1"/>
    </x:xf>
    <x:xf numFmtId="0" fontId="25" fillId="178" borderId="0" xfId="0" applyNumberFormat="1" applyFont="1" applyFill="1" applyBorder="1" applyAlignment="1">
      <x:alignment vertical="top" wrapText="1"/>
    </x:xf>
    <x:xf numFmtId="201" fontId="25" fillId="178" borderId="0" xfId="0" applyNumberFormat="1" applyFont="1" applyFill="1" applyBorder="1" applyAlignment="1">
      <x:alignment vertical="top" wrapText="1"/>
    </x:xf>
    <x:xf numFmtId="202" fontId="25" fillId="178" borderId="0" xfId="0" applyNumberFormat="1" applyFont="1" applyFill="1" applyBorder="1" applyAlignment="1">
      <x:alignment vertical="top" wrapText="1"/>
    </x:xf>
    <x:xf numFmtId="0" fontId="28" fillId="178" borderId="0" xfId="0" applyNumberFormat="1" applyFont="1" applyFill="1" applyBorder="1" applyAlignment="1">
      <x:alignment vertical="top" wrapText="1"/>
    </x:xf>
    <x:xf numFmtId="0" fontId="25" fillId="179" borderId="0" xfId="0" applyNumberFormat="1" applyFont="1" applyFill="1" applyBorder="1" applyAlignment="1">
      <x:alignment vertical="top" wrapText="1"/>
    </x:xf>
    <x:xf numFmtId="0" fontId="25" fillId="180" borderId="0" xfId="0" applyNumberFormat="1" applyFont="1" applyFill="1" applyBorder="1" applyAlignment="1">
      <x:alignment vertical="top" wrapText="1"/>
    </x:xf>
    <x:xf numFmtId="0" fontId="25" fillId="181" borderId="0" xfId="0" applyNumberFormat="1" applyFont="1" applyFill="1" applyBorder="1" applyAlignment="1">
      <x:alignment vertical="top" wrapText="1"/>
    </x:xf>
    <x:xf numFmtId="0" fontId="25" fillId="182" borderId="0" xfId="0" applyNumberFormat="1" applyFont="1" applyFill="1" applyBorder="1" applyAlignment="1">
      <x:alignment vertical="top" wrapText="1"/>
    </x:xf>
    <x:xf numFmtId="0" fontId="25" fillId="183" borderId="0" xfId="0" applyNumberFormat="1" applyFont="1" applyFill="1" applyBorder="1" applyAlignment="1">
      <x:alignment vertical="top" wrapText="1"/>
    </x:xf>
    <x:xf numFmtId="202" fontId="20" fillId="176" borderId="0" xfId="0" applyNumberFormat="1" applyFont="1" applyFill="1" applyBorder="1" applyAlignment="1">
      <x:alignment vertical="center" wrapText="1"/>
    </x:xf>
    <x:xf numFmtId="0" fontId="27" fillId="184" borderId="0" xfId="0" applyNumberFormat="1" applyFont="1" applyFill="1" applyBorder="1" applyAlignment="1">
      <x:alignment vertical="center" wrapText="1"/>
    </x:xf>
    <x:xf numFmtId="0" fontId="20" fillId="176" borderId="0" xfId="0" applyNumberFormat="1" applyFont="1" applyFill="1" applyBorder="1" applyAlignment="1">
      <x:alignment vertical="center" wrapText="1"/>
    </x:xf>
    <x:xf numFmtId="203" fontId="20" fillId="176" borderId="0" xfId="0" applyNumberFormat="1" applyFont="1" applyFill="1" applyBorder="1" applyAlignment="1">
      <x:alignment vertical="center" wrapText="1"/>
    </x:xf>
    <x:xf numFmtId="0" fontId="27" fillId="176" borderId="0" xfId="0" applyNumberFormat="1" applyFont="1" applyFill="1" applyBorder="1" applyAlignment="1">
      <x:alignment vertical="center" wrapText="1"/>
    </x:xf>
    <x:xf numFmtId="0" fontId="0" fillId="176" borderId="0" xfId="0" applyNumberFormat="1" applyFont="1" applyFill="1" applyBorder="1"/>
    <x:xf numFmtId="0" fontId="29" fillId="176" borderId="0" xfId="0" applyNumberFormat="1" applyFont="1" applyFill="1" applyBorder="1" applyAlignment="1">
      <x:alignment vertical="center" wrapText="1"/>
    </x:xf>
    <x:xf numFmtId="0" fontId="30" fillId="176" borderId="0" xfId="0" applyNumberFormat="1" applyFont="1" applyFill="1" applyBorder="1" applyAlignment="1">
      <x:alignment vertical="center" wrapText="1"/>
    </x:xf>
    <x:xf numFmtId="0" fontId="47" fillId="16" borderId="0" xfId="0" applyNumberFormat="1" applyFont="1" applyFill="1" applyBorder="1" applyAlignment="1">
      <x:alignment vertical="center" wrapText="1"/>
    </x:xf>
    <x:xf numFmtId="202" fontId="47" fillId="6" borderId="0" xfId="0" applyNumberFormat="1" applyFont="1" applyFill="1" applyBorder="1" applyAlignment="1">
      <x:alignment vertical="center" wrapText="1"/>
    </x:xf>
    <x:xf numFmtId="0" fontId="47" fillId="6" borderId="0" xfId="0" applyNumberFormat="1" applyFont="1" applyFill="1" applyBorder="1" applyAlignment="1">
      <x:alignment vertical="top" wrapText="1"/>
    </x:xf>
    <x:xf numFmtId="203" fontId="47" fillId="6" borderId="0" xfId="0" applyNumberFormat="1" applyFont="1" applyFill="1" applyBorder="1" applyAlignment="1">
      <x:alignment vertical="top" wrapText="1"/>
    </x:xf>
    <x:xf numFmtId="202" fontId="47" fillId="6" borderId="0" xfId="0" applyNumberFormat="1" applyFont="1" applyFill="1" applyBorder="1" applyAlignment="1">
      <x:alignment vertical="top" wrapText="1"/>
    </x:xf>
    <x:xf numFmtId="0" fontId="47" fillId="30" borderId="0" xfId="0" applyNumberFormat="1" applyFont="1" applyFill="1" applyBorder="1" applyAlignment="1">
      <x:alignment vertical="top" wrapText="1"/>
    </x:xf>
    <x:xf numFmtId="0" fontId="47" fillId="18" borderId="0" xfId="0" applyNumberFormat="1" applyFont="1" applyFill="1" applyBorder="1" applyAlignment="1">
      <x:alignment vertical="top" wrapText="1"/>
    </x:xf>
    <x:xf numFmtId="0" fontId="47" fillId="17" borderId="0" xfId="0" applyNumberFormat="1" applyFont="1" applyFill="1" applyBorder="1" applyAlignment="1">
      <x:alignment vertical="top" wrapText="1"/>
    </x:xf>
    <x:xf numFmtId="203" fontId="47" fillId="17" borderId="0" xfId="0" applyNumberFormat="1" applyFont="1" applyFill="1" applyBorder="1" applyAlignment="1">
      <x:alignment vertical="top" wrapText="1"/>
    </x:xf>
    <x:xf numFmtId="0" fontId="47" fillId="6" borderId="0" xfId="0" applyNumberFormat="1" applyFont="1" applyFill="1" applyBorder="1" applyAlignment="1">
      <x:alignment vertical="center" wrapText="1"/>
    </x:xf>
    <x:xf numFmtId="203" fontId="47" fillId="6" borderId="0" xfId="0" applyNumberFormat="1" applyFont="1" applyFill="1" applyBorder="1" applyAlignment="1">
      <x:alignment vertical="center" wrapText="1"/>
    </x:xf>
    <x:xf numFmtId="0" fontId="47" fillId="6" borderId="0" xfId="0" applyNumberFormat="1" applyFont="1" applyFill="1" applyBorder="1"/>
    <x:xf numFmtId="0" fontId="47" fillId="6" borderId="0" xfId="0" applyNumberFormat="1" applyFont="1" applyFill="1" applyBorder="1" applyAlignment="1">
      <x:alignment wrapText="1"/>
    </x:xf>
    <x:xf numFmtId="0" fontId="47" fillId="16" borderId="0" xfId="0" applyNumberFormat="1" applyFont="1" applyFill="1" applyBorder="1" applyAlignment="1">
      <x:alignment vertical="top" wrapText="1"/>
    </x:xf>
    <x:xf numFmtId="0" fontId="47" fillId="185" borderId="0" xfId="0" applyNumberFormat="1" applyFont="1" applyFill="1" applyBorder="1" applyAlignment="1">
      <x:alignment vertical="top" wrapText="1"/>
    </x:xf>
    <x:xf numFmtId="202" fontId="47" fillId="185" borderId="0" xfId="0" applyNumberFormat="1" applyFont="1" applyFill="1" applyBorder="1" applyAlignment="1">
      <x:alignment vertical="top" wrapText="1"/>
    </x:xf>
    <x:xf numFmtId="0" fontId="20" fillId="185" borderId="0" xfId="0" applyNumberFormat="1" applyFont="1" applyFill="1" applyBorder="1" applyAlignment="1">
      <x:alignment vertical="top" wrapText="1"/>
    </x:xf>
    <x:xf numFmtId="202" fontId="20" fillId="185" borderId="0" xfId="0" applyNumberFormat="1" applyFont="1" applyFill="1" applyBorder="1" applyAlignment="1">
      <x:alignment vertical="top" wrapText="1"/>
    </x:xf>
    <x:xf numFmtId="0" fontId="20" fillId="185" borderId="0" xfId="0" applyNumberFormat="1" applyFont="1" applyFill="1" applyBorder="1" applyAlignment="1">
      <x:alignment vertical="center" wrapText="1"/>
    </x:xf>
    <x:xf numFmtId="202" fontId="20" fillId="185" borderId="0" xfId="0" applyNumberFormat="1" applyFont="1" applyFill="1" applyBorder="1" applyAlignment="1">
      <x:alignment vertical="center" wrapText="1"/>
    </x:xf>
    <x:xf numFmtId="0" fontId="47" fillId="176" borderId="0" xfId="0" applyNumberFormat="1" applyFont="1" applyFill="1" applyBorder="1" applyAlignment="1">
      <x:alignment vertical="top" wrapText="1"/>
    </x:xf>
    <x:xf numFmtId="203" fontId="47" fillId="176" borderId="0" xfId="0" applyNumberFormat="1" applyFont="1" applyFill="1" applyBorder="1" applyAlignment="1">
      <x:alignment vertical="top" wrapText="1"/>
    </x:xf>
    <x:xf numFmtId="202" fontId="47" fillId="176" borderId="0" xfId="0" applyNumberFormat="1" applyFont="1" applyFill="1" applyBorder="1" applyAlignment="1">
      <x:alignment vertical="top" wrapText="1"/>
    </x:xf>
    <x:xf numFmtId="0" fontId="47" fillId="178" borderId="0" xfId="0" applyNumberFormat="1" applyFont="1" applyFill="1" applyBorder="1" applyAlignment="1">
      <x:alignment vertical="top" wrapText="1"/>
    </x:xf>
    <x:xf numFmtId="203" fontId="47" fillId="178" borderId="0" xfId="0" applyNumberFormat="1" applyFont="1" applyFill="1" applyBorder="1" applyAlignment="1">
      <x:alignment vertical="top" wrapText="1"/>
    </x:xf>
    <x:xf numFmtId="202" fontId="47" fillId="178" borderId="0" xfId="0" applyNumberFormat="1" applyFont="1" applyFill="1" applyBorder="1" applyAlignment="1">
      <x:alignment vertical="top" wrapText="1"/>
    </x:xf>
    <x:xf numFmtId="0" fontId="48" fillId="176" borderId="0" xfId="0" applyNumberFormat="1" applyFont="1" applyFill="1" applyBorder="1" applyAlignment="1">
      <x:alignment vertical="top" wrapText="1"/>
    </x:xf>
    <x:xf numFmtId="0" fontId="48" fillId="178" borderId="0" xfId="0" applyNumberFormat="1" applyFont="1" applyFill="1" applyBorder="1" applyAlignment="1">
      <x:alignment vertical="top" wrapText="1"/>
    </x:xf>
    <x:xf numFmtId="0" fontId="47" fillId="186" borderId="0" xfId="0" applyNumberFormat="1" applyFont="1" applyFill="1" applyBorder="1" applyAlignment="1">
      <x:alignment vertical="top" wrapText="1"/>
    </x:xf>
    <x:xf numFmtId="0" fontId="47" fillId="183" borderId="0" xfId="0" applyNumberFormat="1" applyFont="1" applyFill="1" applyBorder="1" applyAlignment="1">
      <x:alignment vertical="top" wrapText="1"/>
    </x:xf>
    <x:xf numFmtId="0" fontId="27" fillId="185" borderId="0" xfId="0" applyNumberFormat="1" applyFont="1" applyFill="1" applyBorder="1" applyAlignment="1">
      <x:alignment vertical="center" wrapText="1"/>
    </x:xf>
    <x:xf numFmtId="0" fontId="25" fillId="185" borderId="0" xfId="0" applyNumberFormat="1" applyFont="1" applyFill="1" applyBorder="1" applyAlignment="1">
      <x:alignment vertical="top" wrapText="1"/>
    </x:xf>
    <x:xf numFmtId="0" fontId="20" fillId="184" borderId="0" xfId="0" applyNumberFormat="1" applyFont="1" applyFill="1" applyBorder="1" applyAlignment="1">
      <x:alignment vertical="center" wrapText="1"/>
    </x:xf>
    <x:xf numFmtId="0" fontId="27" fillId="176" borderId="0" xfId="0" applyNumberFormat="1" applyFont="1" applyFill="1" applyBorder="1" applyAlignment="1">
      <x:alignment vertical="top" wrapText="1"/>
    </x:xf>
    <x:xf numFmtId="0" fontId="25" fillId="184" borderId="0" xfId="0" applyNumberFormat="1" applyFont="1" applyFill="1" applyBorder="1" applyAlignment="1">
      <x:alignment vertical="top" wrapText="1"/>
    </x:xf>
    <x:xf numFmtId="0" fontId="27" fillId="184" borderId="0" xfId="0" applyNumberFormat="1" applyFont="1" applyFill="1" applyBorder="1" applyAlignment="1">
      <x:alignment vertical="top" wrapText="1"/>
    </x:xf>
    <x:xf numFmtId="0" fontId="30" fillId="176" borderId="0" xfId="0" applyNumberFormat="1" applyFont="1" applyFill="1" applyBorder="1" applyAlignment="1">
      <x:alignment vertical="top" wrapText="1"/>
    </x:xf>
    <x:xf numFmtId="0" fontId="26" fillId="176" borderId="0" xfId="0" applyNumberFormat="1" applyFont="1" applyFill="1" applyBorder="1" applyAlignment="1">
      <x:alignment vertical="center" wrapText="1"/>
    </x:xf>
    <x:xf numFmtId="0" fontId="27" fillId="187" borderId="0" xfId="0" applyNumberFormat="1" applyFont="1" applyFill="1" applyBorder="1" applyAlignment="1">
      <x:alignment vertical="top" wrapText="1"/>
    </x:xf>
    <x:xf numFmtId="0" fontId="26" fillId="187" borderId="0" xfId="0" applyNumberFormat="1" applyFont="1" applyFill="1" applyBorder="1" applyAlignment="1">
      <x:alignment vertical="top" wrapText="1"/>
    </x:xf>
    <x:xf numFmtId="0" fontId="26" fillId="187" borderId="0" xfId="0" applyNumberFormat="1" applyFont="1" applyFill="1" applyBorder="1" applyAlignment="1">
      <x:alignment vertical="center" wrapText="1"/>
    </x:xf>
    <x:xf numFmtId="0" fontId="27" fillId="185" borderId="0" xfId="0" applyNumberFormat="1" applyFont="1" applyFill="1" applyBorder="1" applyAlignment="1">
      <x:alignment vertical="top" wrapText="1"/>
    </x:xf>
    <x:xf numFmtId="0" fontId="20" fillId="188" borderId="1" xfId="0" applyNumberFormat="1" applyFont="1" applyFill="1" applyBorder="1" applyAlignment="1">
      <x:alignment horizontal="left" vertical="center" wrapText="1"/>
    </x:xf>
    <x:xf numFmtId="165" fontId="34" fillId="188" borderId="1" xfId="0" applyNumberFormat="1" applyFont="1" applyFill="1" applyBorder="1" applyAlignment="1">
      <x:alignment horizontal="left" vertical="center" wrapText="1"/>
    </x:xf>
    <x:xf numFmtId="166" fontId="34" fillId="188" borderId="1" xfId="0" applyNumberFormat="1" applyFont="1" applyFill="1" applyBorder="1" applyAlignment="1">
      <x:alignment horizontal="left" vertical="center" wrapText="1"/>
    </x:xf>
    <x:xf numFmtId="0" fontId="34" fillId="188" borderId="1" xfId="0" applyNumberFormat="1" applyFont="1" applyFill="1" applyBorder="1" applyAlignment="1">
      <x:alignment horizontal="left" vertical="center" wrapText="1"/>
    </x:xf>
    <x:xf numFmtId="0" fontId="34" fillId="188" borderId="0" xfId="0" applyNumberFormat="1" applyFont="1" applyFill="1" applyBorder="1" applyAlignment="1">
      <x:alignment horizontal="left" vertical="center" wrapText="1"/>
    </x:xf>
    <x:xf numFmtId="167" fontId="34" fillId="188" borderId="1" xfId="0" applyNumberFormat="1" applyFont="1" applyFill="1" applyBorder="1" applyAlignment="1">
      <x:alignment horizontal="left" vertical="center" wrapText="1"/>
    </x:xf>
    <x:xf numFmtId="168" fontId="34" fillId="188" borderId="1" xfId="0" applyNumberFormat="1" applyFont="1" applyFill="1" applyBorder="1" applyAlignment="1">
      <x:alignment horizontal="left" vertical="center" wrapText="1"/>
    </x:xf>
    <x:xf numFmtId="170" fontId="34" fillId="188" borderId="1" xfId="0" applyNumberFormat="1" applyFont="1" applyFill="1" applyBorder="1" applyAlignment="1">
      <x:alignment horizontal="left" vertical="center" wrapText="1"/>
    </x:xf>
    <x:xf numFmtId="0" fontId="35" fillId="188" borderId="6" xfId="0" applyNumberFormat="1" applyFont="1" applyFill="1" applyBorder="1" applyAlignment="1">
      <x:alignment horizontal="left" vertical="center" wrapText="1"/>
    </x:xf>
    <x:xf numFmtId="0" fontId="35" fillId="188" borderId="7" xfId="0" applyNumberFormat="1" applyFont="1" applyFill="1" applyBorder="1" applyAlignment="1">
      <x:alignment horizontal="left" vertical="center" wrapText="1"/>
    </x:xf>
    <x:xf numFmtId="0" fontId="35" fillId="188" borderId="8" xfId="0" applyNumberFormat="1" applyFont="1" applyFill="1" applyBorder="1" applyAlignment="1">
      <x:alignment horizontal="left" vertical="center" wrapText="1"/>
    </x:xf>
    <x:xf numFmtId="0" fontId="35" fillId="188" borderId="9" xfId="0" applyNumberFormat="1" applyFont="1" applyFill="1" applyBorder="1" applyAlignment="1">
      <x:alignment horizontal="left" vertical="center" wrapText="1"/>
    </x:xf>
    <x:xf numFmtId="0" fontId="35" fillId="188" borderId="0" xfId="0" applyNumberFormat="1" applyFont="1" applyFill="1" applyBorder="1" applyAlignment="1">
      <x:alignment horizontal="left" vertical="center" wrapText="1"/>
    </x:xf>
    <x:xf numFmtId="0" fontId="35" fillId="188" borderId="10" xfId="0" applyNumberFormat="1" applyFont="1" applyFill="1" applyBorder="1" applyAlignment="1">
      <x:alignment horizontal="left" vertical="center" wrapText="1"/>
    </x:xf>
    <x:xf numFmtId="0" fontId="35" fillId="188" borderId="11" xfId="0" applyNumberFormat="1" applyFont="1" applyFill="1" applyBorder="1" applyAlignment="1">
      <x:alignment horizontal="left" vertical="center" wrapText="1"/>
    </x:xf>
    <x:xf numFmtId="0" fontId="35" fillId="188" borderId="12" xfId="0" applyNumberFormat="1" applyFont="1" applyFill="1" applyBorder="1" applyAlignment="1">
      <x:alignment horizontal="left" vertical="center" wrapText="1"/>
    </x:xf>
    <x:xf numFmtId="0" fontId="35" fillId="188" borderId="13" xfId="0" applyNumberFormat="1" applyFont="1" applyFill="1" applyBorder="1" applyAlignment="1">
      <x:alignment horizontal="left" vertical="center" wrapText="1"/>
    </x:xf>
    <x:xf numFmtId="0" fontId="36" fillId="185" borderId="9" xfId="0" applyNumberFormat="1" applyFont="1" applyFill="1" applyBorder="1" applyAlignment="1">
      <x:alignment horizontal="left" vertical="center" wrapText="1"/>
    </x:xf>
    <x:xf numFmtId="0" fontId="36" fillId="185" borderId="0" xfId="0" applyNumberFormat="1" applyFont="1" applyFill="1" applyBorder="1" applyAlignment="1">
      <x:alignment horizontal="left" vertical="center" wrapText="1"/>
    </x:xf>
    <x:xf numFmtId="0" fontId="36" fillId="185" borderId="10" xfId="0" applyNumberFormat="1" applyFont="1" applyFill="1" applyBorder="1" applyAlignment="1">
      <x:alignment horizontal="left" vertical="center" wrapText="1"/>
    </x:xf>
    <x:xf numFmtId="0" fontId="36" fillId="185" borderId="11" xfId="0" applyNumberFormat="1" applyFont="1" applyFill="1" applyBorder="1" applyAlignment="1">
      <x:alignment horizontal="left" vertical="center" wrapText="1"/>
    </x:xf>
    <x:xf numFmtId="0" fontId="36" fillId="185" borderId="12" xfId="0" applyNumberFormat="1" applyFont="1" applyFill="1" applyBorder="1" applyAlignment="1">
      <x:alignment horizontal="left" vertical="center" wrapText="1"/>
    </x:xf>
    <x:xf numFmtId="0" fontId="36" fillId="185" borderId="13" xfId="0" applyNumberFormat="1" applyFont="1" applyFill="1" applyBorder="1" applyAlignment="1">
      <x:alignment horizontal="left" vertical="center" wrapText="1"/>
    </x:xf>
    <x:xf numFmtId="0" fontId="49" fillId="0" borderId="0" xfId="0" applyNumberFormat="1" applyFont="1" applyFill="1" applyBorder="1"/>
    <x:xf numFmtId="0" fontId="49" fillId="0" borderId="0" xfId="0" applyNumberFormat="1" applyFont="1" applyFill="1" applyBorder="1" applyAlignment="1">
      <x:alignment wrapText="1"/>
    </x:xf>
    <x:xf numFmtId="0" fontId="49" fillId="0" borderId="0" xfId="0" applyNumberFormat="1" applyFont="1" applyFill="1" applyBorder="1" applyAlignment="1">
      <x:alignment vertical="top" wrapText="1"/>
    </x:xf>
    <x:xf numFmtId="0" fontId="49" fillId="189" borderId="0" xfId="0" applyNumberFormat="1" applyFont="1" applyFill="1" applyBorder="1" applyAlignment="1">
      <x:alignment vertical="top" wrapText="1"/>
    </x:xf>
    <x:xf numFmtId="0" fontId="20" fillId="189" borderId="0" xfId="0" applyNumberFormat="1" applyFont="1" applyFill="1" applyBorder="1" applyAlignment="1">
      <x:alignment vertical="top" wrapText="1"/>
    </x:xf>
    <x:xf numFmtId="0" fontId="20" fillId="189" borderId="0" xfId="0" applyNumberFormat="1" applyFont="1" applyFill="1" applyBorder="1" applyAlignment="1">
      <x:alignment vertical="center" wrapText="1"/>
    </x:xf>
    <x:xf numFmtId="0" fontId="25" fillId="190" borderId="0" xfId="0" applyNumberFormat="1" applyFont="1" applyFill="1" applyBorder="1" applyAlignment="1">
      <x:alignment vertical="top" wrapText="1"/>
    </x:xf>
    <x:xf numFmtId="201" fontId="25" fillId="190" borderId="0" xfId="0" applyNumberFormat="1" applyFont="1" applyFill="1" applyBorder="1" applyAlignment="1">
      <x:alignment vertical="top" wrapText="1"/>
    </x:xf>
    <x:xf numFmtId="202" fontId="25" fillId="190" borderId="0" xfId="0" applyNumberFormat="1" applyFont="1" applyFill="1" applyBorder="1" applyAlignment="1">
      <x:alignment vertical="top" wrapText="1"/>
    </x:xf>
    <x:xf numFmtId="0" fontId="28" fillId="190" borderId="0" xfId="0" applyNumberFormat="1" applyFont="1" applyFill="1" applyBorder="1" applyAlignment="1">
      <x:alignment vertical="top" wrapText="1"/>
    </x:xf>
    <x:xf numFmtId="0" fontId="49" fillId="190" borderId="0" xfId="0" applyNumberFormat="1" applyFont="1" applyFill="1" applyBorder="1" applyAlignment="1">
      <x:alignment vertical="top" wrapText="1"/>
    </x:xf>
    <x:xf numFmtId="0" fontId="25" fillId="191" borderId="0" xfId="0" applyNumberFormat="1" applyFont="1" applyFill="1" applyBorder="1" applyAlignment="1">
      <x:alignment vertical="top" wrapText="1"/>
    </x:xf>
    <x:xf numFmtId="0" fontId="25" fillId="192" borderId="0" xfId="0" applyNumberFormat="1" applyFont="1" applyFill="1" applyBorder="1" applyAlignment="1">
      <x:alignment vertical="top" wrapText="1"/>
    </x:xf>
    <x:xf numFmtId="201" fontId="25" fillId="192" borderId="0" xfId="0" applyNumberFormat="1" applyFont="1" applyFill="1" applyBorder="1" applyAlignment="1">
      <x:alignment vertical="top" wrapText="1"/>
    </x:xf>
    <x:xf numFmtId="202" fontId="25" fillId="192" borderId="0" xfId="0" applyNumberFormat="1" applyFont="1" applyFill="1" applyBorder="1" applyAlignment="1">
      <x:alignment vertical="top" wrapText="1"/>
    </x:xf>
    <x:xf numFmtId="0" fontId="28" fillId="192" borderId="0" xfId="0" applyNumberFormat="1" applyFont="1" applyFill="1" applyBorder="1" applyAlignment="1">
      <x:alignment vertical="top" wrapText="1"/>
    </x:xf>
    <x:xf numFmtId="0" fontId="49" fillId="192" borderId="0" xfId="0" applyNumberFormat="1" applyFont="1" applyFill="1" applyBorder="1" applyAlignment="1">
      <x:alignment vertical="top" wrapText="1"/>
    </x:xf>
    <x:xf numFmtId="0" fontId="25" fillId="193" borderId="0" xfId="0" applyNumberFormat="1" applyFont="1" applyFill="1" applyBorder="1" applyAlignment="1">
      <x:alignment vertical="top" wrapText="1"/>
    </x:xf>
    <x:xf numFmtId="0" fontId="25" fillId="194" borderId="0" xfId="0" applyNumberFormat="1" applyFont="1" applyFill="1" applyBorder="1" applyAlignment="1">
      <x:alignment vertical="top" wrapText="1"/>
    </x:xf>
    <x:xf numFmtId="0" fontId="25" fillId="195" borderId="0" xfId="0" applyNumberFormat="1" applyFont="1" applyFill="1" applyBorder="1" applyAlignment="1">
      <x:alignment vertical="top" wrapText="1"/>
    </x:xf>
    <x:xf numFmtId="0" fontId="25" fillId="196" borderId="0" xfId="0" applyNumberFormat="1" applyFont="1" applyFill="1" applyBorder="1" applyAlignment="1">
      <x:alignment vertical="top" wrapText="1"/>
    </x:xf>
    <x:xf numFmtId="0" fontId="25" fillId="197" borderId="0" xfId="0" applyNumberFormat="1" applyFont="1" applyFill="1" applyBorder="1" applyAlignment="1">
      <x:alignment vertical="top" wrapText="1"/>
    </x:xf>
    <x:xf numFmtId="202" fontId="20" fillId="190" borderId="0" xfId="0" applyNumberFormat="1" applyFont="1" applyFill="1" applyBorder="1" applyAlignment="1">
      <x:alignment vertical="center" wrapText="1"/>
    </x:xf>
    <x:xf numFmtId="0" fontId="27" fillId="198" borderId="0" xfId="0" applyNumberFormat="1" applyFont="1" applyFill="1" applyBorder="1" applyAlignment="1">
      <x:alignment vertical="center" wrapText="1"/>
    </x:xf>
    <x:xf numFmtId="0" fontId="0" fillId="198" borderId="0" xfId="0" applyNumberFormat="1" applyFont="1" applyFill="1" applyBorder="1"/>
    <x:xf numFmtId="0" fontId="27" fillId="198" borderId="0" xfId="0" applyNumberFormat="1" applyFont="1" applyFill="1" applyBorder="1"/>
    <x:xf numFmtId="0" fontId="27" fillId="198" borderId="0" xfId="0" applyNumberFormat="1" applyFont="1" applyFill="1" applyBorder="1" applyAlignment="1">
      <x:alignment wrapText="1"/>
    </x:xf>
    <x:xf numFmtId="0" fontId="20" fillId="190" borderId="0" xfId="0" applyNumberFormat="1" applyFont="1" applyFill="1" applyBorder="1" applyAlignment="1">
      <x:alignment vertical="center" wrapText="1"/>
    </x:xf>
    <x:xf numFmtId="203" fontId="20" fillId="190" borderId="0" xfId="0" applyNumberFormat="1" applyFont="1" applyFill="1" applyBorder="1" applyAlignment="1">
      <x:alignment vertical="center" wrapText="1"/>
    </x:xf>
    <x:xf numFmtId="0" fontId="27" fillId="190" borderId="0" xfId="0" applyNumberFormat="1" applyFont="1" applyFill="1" applyBorder="1" applyAlignment="1">
      <x:alignment vertical="center" wrapText="1"/>
    </x:xf>
    <x:xf numFmtId="0" fontId="0" fillId="190" borderId="0" xfId="0" applyNumberFormat="1" applyFont="1" applyFill="1" applyBorder="1"/>
    <x:xf numFmtId="0" fontId="29" fillId="190" borderId="0" xfId="0" applyNumberFormat="1" applyFont="1" applyFill="1" applyBorder="1" applyAlignment="1">
      <x:alignment vertical="center" wrapText="1"/>
    </x:xf>
    <x:xf numFmtId="0" fontId="30" fillId="190" borderId="0" xfId="0" applyNumberFormat="1" applyFont="1" applyFill="1" applyBorder="1" applyAlignment="1">
      <x:alignment vertical="center" wrapText="1"/>
    </x:xf>
    <x:xf numFmtId="0" fontId="49" fillId="16" borderId="0" xfId="0" applyNumberFormat="1" applyFont="1" applyFill="1" applyBorder="1" applyAlignment="1">
      <x:alignment vertical="center" wrapText="1"/>
    </x:xf>
    <x:xf numFmtId="202" fontId="49" fillId="6" borderId="0" xfId="0" applyNumberFormat="1" applyFont="1" applyFill="1" applyBorder="1" applyAlignment="1">
      <x:alignment vertical="center" wrapText="1"/>
    </x:xf>
    <x:xf numFmtId="0" fontId="49" fillId="6" borderId="0" xfId="0" applyNumberFormat="1" applyFont="1" applyFill="1" applyBorder="1" applyAlignment="1">
      <x:alignment vertical="top" wrapText="1"/>
    </x:xf>
    <x:xf numFmtId="203" fontId="49" fillId="6" borderId="0" xfId="0" applyNumberFormat="1" applyFont="1" applyFill="1" applyBorder="1" applyAlignment="1">
      <x:alignment vertical="top" wrapText="1"/>
    </x:xf>
    <x:xf numFmtId="202" fontId="49" fillId="6" borderId="0" xfId="0" applyNumberFormat="1" applyFont="1" applyFill="1" applyBorder="1" applyAlignment="1">
      <x:alignment vertical="top" wrapText="1"/>
    </x:xf>
    <x:xf numFmtId="0" fontId="49" fillId="30" borderId="0" xfId="0" applyNumberFormat="1" applyFont="1" applyFill="1" applyBorder="1" applyAlignment="1">
      <x:alignment vertical="top" wrapText="1"/>
    </x:xf>
    <x:xf numFmtId="0" fontId="49" fillId="18" borderId="0" xfId="0" applyNumberFormat="1" applyFont="1" applyFill="1" applyBorder="1" applyAlignment="1">
      <x:alignment vertical="top" wrapText="1"/>
    </x:xf>
    <x:xf numFmtId="0" fontId="49" fillId="17" borderId="0" xfId="0" applyNumberFormat="1" applyFont="1" applyFill="1" applyBorder="1" applyAlignment="1">
      <x:alignment vertical="top" wrapText="1"/>
    </x:xf>
    <x:xf numFmtId="203" fontId="49" fillId="17" borderId="0" xfId="0" applyNumberFormat="1" applyFont="1" applyFill="1" applyBorder="1" applyAlignment="1">
      <x:alignment vertical="top" wrapText="1"/>
    </x:xf>
    <x:xf numFmtId="0" fontId="49" fillId="16" borderId="0" xfId="0" applyNumberFormat="1" applyFont="1" applyFill="1" applyBorder="1" applyAlignment="1">
      <x:alignment vertical="top" wrapText="1"/>
    </x:xf>
    <x:xf numFmtId="202" fontId="49" fillId="189" borderId="0" xfId="0" applyNumberFormat="1" applyFont="1" applyFill="1" applyBorder="1" applyAlignment="1">
      <x:alignment vertical="top" wrapText="1"/>
    </x:xf>
    <x:xf numFmtId="202" fontId="20" fillId="189" borderId="0" xfId="0" applyNumberFormat="1" applyFont="1" applyFill="1" applyBorder="1" applyAlignment="1">
      <x:alignment vertical="top" wrapText="1"/>
    </x:xf>
    <x:xf numFmtId="202" fontId="20" fillId="189" borderId="0" xfId="0" applyNumberFormat="1" applyFont="1" applyFill="1" applyBorder="1" applyAlignment="1">
      <x:alignment vertical="center" wrapText="1"/>
    </x:xf>
    <x:xf numFmtId="203" fontId="49" fillId="190" borderId="0" xfId="0" applyNumberFormat="1" applyFont="1" applyFill="1" applyBorder="1" applyAlignment="1">
      <x:alignment vertical="top" wrapText="1"/>
    </x:xf>
    <x:xf numFmtId="202" fontId="49" fillId="190" borderId="0" xfId="0" applyNumberFormat="1" applyFont="1" applyFill="1" applyBorder="1" applyAlignment="1">
      <x:alignment vertical="top" wrapText="1"/>
    </x:xf>
    <x:xf numFmtId="203" fontId="49" fillId="192" borderId="0" xfId="0" applyNumberFormat="1" applyFont="1" applyFill="1" applyBorder="1" applyAlignment="1">
      <x:alignment vertical="top" wrapText="1"/>
    </x:xf>
    <x:xf numFmtId="202" fontId="49" fillId="192" borderId="0" xfId="0" applyNumberFormat="1" applyFont="1" applyFill="1" applyBorder="1" applyAlignment="1">
      <x:alignment vertical="top" wrapText="1"/>
    </x:xf>
    <x:xf numFmtId="0" fontId="50" fillId="190" borderId="0" xfId="0" applyNumberFormat="1" applyFont="1" applyFill="1" applyBorder="1" applyAlignment="1">
      <x:alignment vertical="top" wrapText="1"/>
    </x:xf>
    <x:xf numFmtId="0" fontId="50" fillId="192" borderId="0" xfId="0" applyNumberFormat="1" applyFont="1" applyFill="1" applyBorder="1" applyAlignment="1">
      <x:alignment vertical="top" wrapText="1"/>
    </x:xf>
    <x:xf numFmtId="0" fontId="49" fillId="199" borderId="0" xfId="0" applyNumberFormat="1" applyFont="1" applyFill="1" applyBorder="1" applyAlignment="1">
      <x:alignment vertical="top" wrapText="1"/>
    </x:xf>
    <x:xf numFmtId="0" fontId="49" fillId="197" borderId="0" xfId="0" applyNumberFormat="1" applyFont="1" applyFill="1" applyBorder="1" applyAlignment="1">
      <x:alignment vertical="top" wrapText="1"/>
    </x:xf>
    <x:xf numFmtId="0" fontId="20" fillId="198" borderId="0" xfId="0" applyNumberFormat="1" applyFont="1" applyFill="1" applyBorder="1" applyAlignment="1">
      <x:alignment vertical="center" wrapText="1"/>
    </x:xf>
    <x:xf numFmtId="0" fontId="27" fillId="190" borderId="0" xfId="0" applyNumberFormat="1" applyFont="1" applyFill="1" applyBorder="1" applyAlignment="1">
      <x:alignment vertical="top" wrapText="1"/>
    </x:xf>
    <x:xf numFmtId="0" fontId="27" fillId="189" borderId="0" xfId="0" applyNumberFormat="1" applyFont="1" applyFill="1" applyBorder="1" applyAlignment="1">
      <x:alignment vertical="center" wrapText="1"/>
    </x:xf>
    <x:xf numFmtId="0" fontId="25" fillId="198" borderId="0" xfId="0" applyNumberFormat="1" applyFont="1" applyFill="1" applyBorder="1" applyAlignment="1">
      <x:alignment vertical="top" wrapText="1"/>
    </x:xf>
    <x:xf numFmtId="0" fontId="27" fillId="198" borderId="0" xfId="0" applyNumberFormat="1" applyFont="1" applyFill="1" applyBorder="1" applyAlignment="1">
      <x:alignment vertical="top" wrapText="1"/>
    </x:xf>
    <x:xf numFmtId="0" fontId="30" fillId="190" borderId="0" xfId="0" applyNumberFormat="1" applyFont="1" applyFill="1" applyBorder="1" applyAlignment="1">
      <x:alignment vertical="top" wrapText="1"/>
    </x:xf>
    <x:xf numFmtId="0" fontId="26" fillId="190" borderId="0" xfId="0" applyNumberFormat="1" applyFont="1" applyFill="1" applyBorder="1" applyAlignment="1">
      <x:alignment vertical="center" wrapText="1"/>
    </x:xf>
    <x:xf numFmtId="0" fontId="27" fillId="200" borderId="0" xfId="0" applyNumberFormat="1" applyFont="1" applyFill="1" applyBorder="1" applyAlignment="1">
      <x:alignment vertical="top" wrapText="1"/>
    </x:xf>
    <x:xf numFmtId="0" fontId="26" fillId="200" borderId="0" xfId="0" applyNumberFormat="1" applyFont="1" applyFill="1" applyBorder="1" applyAlignment="1">
      <x:alignment vertical="top" wrapText="1"/>
    </x:xf>
    <x:xf numFmtId="0" fontId="26" fillId="200" borderId="0" xfId="0" applyNumberFormat="1" applyFont="1" applyFill="1" applyBorder="1" applyAlignment="1">
      <x:alignment vertical="center" wrapText="1"/>
    </x:xf>
    <x:xf numFmtId="0" fontId="27" fillId="189" borderId="0" xfId="0" applyNumberFormat="1" applyFont="1" applyFill="1" applyBorder="1" applyAlignment="1">
      <x:alignment vertical="top" wrapText="1"/>
    </x:xf>
    <x:xf numFmtId="0" fontId="20" fillId="201" borderId="1" xfId="0" applyNumberFormat="1" applyFont="1" applyFill="1" applyBorder="1" applyAlignment="1">
      <x:alignment horizontal="left" vertical="center" wrapText="1"/>
    </x:xf>
    <x:xf numFmtId="165" fontId="34" fillId="201" borderId="1" xfId="0" applyNumberFormat="1" applyFont="1" applyFill="1" applyBorder="1" applyAlignment="1">
      <x:alignment horizontal="left" vertical="center" wrapText="1"/>
    </x:xf>
    <x:xf numFmtId="166" fontId="34" fillId="201" borderId="1" xfId="0" applyNumberFormat="1" applyFont="1" applyFill="1" applyBorder="1" applyAlignment="1">
      <x:alignment horizontal="left" vertical="center" wrapText="1"/>
    </x:xf>
    <x:xf numFmtId="0" fontId="34" fillId="201" borderId="1" xfId="0" applyNumberFormat="1" applyFont="1" applyFill="1" applyBorder="1" applyAlignment="1">
      <x:alignment horizontal="left" vertical="center" wrapText="1"/>
    </x:xf>
    <x:xf numFmtId="0" fontId="34" fillId="201" borderId="0" xfId="0" applyNumberFormat="1" applyFont="1" applyFill="1" applyBorder="1" applyAlignment="1">
      <x:alignment horizontal="left" vertical="center" wrapText="1"/>
    </x:xf>
    <x:xf numFmtId="167" fontId="34" fillId="201" borderId="1" xfId="0" applyNumberFormat="1" applyFont="1" applyFill="1" applyBorder="1" applyAlignment="1">
      <x:alignment horizontal="left" vertical="center" wrapText="1"/>
    </x:xf>
    <x:xf numFmtId="168" fontId="34" fillId="201" borderId="1" xfId="0" applyNumberFormat="1" applyFont="1" applyFill="1" applyBorder="1" applyAlignment="1">
      <x:alignment horizontal="left" vertical="center" wrapText="1"/>
    </x:xf>
    <x:xf numFmtId="170" fontId="34" fillId="201" borderId="1" xfId="0" applyNumberFormat="1" applyFont="1" applyFill="1" applyBorder="1" applyAlignment="1">
      <x:alignment horizontal="left" vertical="center" wrapText="1"/>
    </x:xf>
    <x:xf numFmtId="0" fontId="35" fillId="201" borderId="6" xfId="0" applyNumberFormat="1" applyFont="1" applyFill="1" applyBorder="1" applyAlignment="1">
      <x:alignment horizontal="left" vertical="center" wrapText="1"/>
    </x:xf>
    <x:xf numFmtId="0" fontId="35" fillId="201" borderId="7" xfId="0" applyNumberFormat="1" applyFont="1" applyFill="1" applyBorder="1" applyAlignment="1">
      <x:alignment horizontal="left" vertical="center" wrapText="1"/>
    </x:xf>
    <x:xf numFmtId="0" fontId="35" fillId="201" borderId="8" xfId="0" applyNumberFormat="1" applyFont="1" applyFill="1" applyBorder="1" applyAlignment="1">
      <x:alignment horizontal="left" vertical="center" wrapText="1"/>
    </x:xf>
    <x:xf numFmtId="0" fontId="35" fillId="201" borderId="9" xfId="0" applyNumberFormat="1" applyFont="1" applyFill="1" applyBorder="1" applyAlignment="1">
      <x:alignment horizontal="left" vertical="center" wrapText="1"/>
    </x:xf>
    <x:xf numFmtId="0" fontId="35" fillId="201" borderId="0" xfId="0" applyNumberFormat="1" applyFont="1" applyFill="1" applyBorder="1" applyAlignment="1">
      <x:alignment horizontal="left" vertical="center" wrapText="1"/>
    </x:xf>
    <x:xf numFmtId="0" fontId="35" fillId="201" borderId="10" xfId="0" applyNumberFormat="1" applyFont="1" applyFill="1" applyBorder="1" applyAlignment="1">
      <x:alignment horizontal="left" vertical="center" wrapText="1"/>
    </x:xf>
    <x:xf numFmtId="0" fontId="35" fillId="201" borderId="11" xfId="0" applyNumberFormat="1" applyFont="1" applyFill="1" applyBorder="1" applyAlignment="1">
      <x:alignment horizontal="left" vertical="center" wrapText="1"/>
    </x:xf>
    <x:xf numFmtId="0" fontId="35" fillId="201" borderId="12" xfId="0" applyNumberFormat="1" applyFont="1" applyFill="1" applyBorder="1" applyAlignment="1">
      <x:alignment horizontal="left" vertical="center" wrapText="1"/>
    </x:xf>
    <x:xf numFmtId="0" fontId="35" fillId="201" borderId="13" xfId="0" applyNumberFormat="1" applyFont="1" applyFill="1" applyBorder="1" applyAlignment="1">
      <x:alignment horizontal="left" vertical="center" wrapText="1"/>
    </x:xf>
    <x:xf numFmtId="0" fontId="36" fillId="189" borderId="9" xfId="0" applyNumberFormat="1" applyFont="1" applyFill="1" applyBorder="1" applyAlignment="1">
      <x:alignment horizontal="left" vertical="center" wrapText="1"/>
    </x:xf>
    <x:xf numFmtId="0" fontId="36" fillId="189" borderId="0" xfId="0" applyNumberFormat="1" applyFont="1" applyFill="1" applyBorder="1" applyAlignment="1">
      <x:alignment horizontal="left" vertical="center" wrapText="1"/>
    </x:xf>
    <x:xf numFmtId="0" fontId="36" fillId="189" borderId="10" xfId="0" applyNumberFormat="1" applyFont="1" applyFill="1" applyBorder="1" applyAlignment="1">
      <x:alignment horizontal="left" vertical="center" wrapText="1"/>
    </x:xf>
    <x:xf numFmtId="0" fontId="36" fillId="189" borderId="11" xfId="0" applyNumberFormat="1" applyFont="1" applyFill="1" applyBorder="1" applyAlignment="1">
      <x:alignment horizontal="left" vertical="center" wrapText="1"/>
    </x:xf>
    <x:xf numFmtId="0" fontId="36" fillId="189" borderId="12" xfId="0" applyNumberFormat="1" applyFont="1" applyFill="1" applyBorder="1" applyAlignment="1">
      <x:alignment horizontal="left" vertical="center" wrapText="1"/>
    </x:xf>
    <x:xf numFmtId="0" fontId="36" fillId="189" borderId="13" xfId="0" applyNumberFormat="1" applyFont="1" applyFill="1" applyBorder="1" applyAlignment="1">
      <x:alignment horizontal="left" vertical="center" wrapText="1"/>
    </x:xf>
    <x:xf numFmtId="0" fontId="25" fillId="0" borderId="0" xfId="0" applyNumberFormat="1" applyFont="1" applyFill="1" applyBorder="1" applyAlignment="1">
      <x:alignment vertical="center" wrapText="1"/>
    </x:xf>
    <x:xf numFmtId="0" fontId="25" fillId="189" borderId="0" xfId="0" applyNumberFormat="1" applyFont="1" applyFill="1" applyBorder="1" applyAlignment="1">
      <x:alignment vertical="center" wrapText="1"/>
    </x:xf>
    <x:xf numFmtId="203" fontId="25" fillId="0" borderId="0" xfId="0" applyNumberFormat="1" applyFont="1" applyFill="1" applyBorder="1" applyAlignment="1">
      <x:alignment vertical="center" wrapText="1"/>
    </x:xf>
    <x:xf numFmtId="0" fontId="0" fillId="200" borderId="0" xfId="0" applyNumberFormat="1" applyFont="1" applyFill="1" applyBorder="1"/>
    <x:xf numFmtId="0" fontId="51" fillId="200" borderId="0" xfId="0" applyNumberFormat="1" applyFont="1" applyFill="1" applyBorder="1"/>
    <x:xf numFmtId="0" fontId="51" fillId="200" borderId="0" xfId="0" applyNumberFormat="1" applyFont="1" applyFill="1" applyBorder="1" applyAlignment="1">
      <x:alignment wrapText="1"/>
    </x:xf>
    <x:xf numFmtId="0" fontId="51" fillId="200" borderId="0" xfId="0" applyNumberFormat="1" applyFont="1" applyFill="1" applyBorder="1" applyAlignment="1">
      <x:alignment vertical="center" wrapText="1"/>
    </x:xf>
    <x:xf numFmtId="0" fontId="51" fillId="189" borderId="0" xfId="0" applyNumberFormat="1" applyFont="1" applyFill="1" applyBorder="1" applyAlignment="1">
      <x:alignment vertical="center" wrapText="1"/>
    </x:xf>
    <x:xf numFmtId="0" fontId="52" fillId="189" borderId="0" xfId="0" applyNumberFormat="1" applyFont="1" applyFill="1" applyBorder="1" applyAlignment="1">
      <x:alignment vertical="center" wrapText="1"/>
    </x:xf>
    <x:xf numFmtId="0" fontId="34" fillId="200" borderId="0" xfId="0" applyNumberFormat="1" applyFont="1" applyFill="1" applyBorder="1" applyAlignment="1">
      <x:alignment vertical="center" wrapText="1"/>
    </x:xf>
    <x:xf numFmtId="0" fontId="29" fillId="189" borderId="0" xfId="0" applyNumberFormat="1" applyFont="1" applyFill="1" applyBorder="1" applyAlignment="1">
      <x:alignment vertical="center" wrapText="1"/>
    </x:xf>
    <x:xf numFmtId="0" fontId="29" fillId="200" borderId="0" xfId="0" applyNumberFormat="1" applyFont="1" applyFill="1" applyBorder="1" applyAlignment="1">
      <x:alignment vertical="center" wrapText="1"/>
    </x:xf>
    <x:xf numFmtId="0" fontId="53" fillId="200" borderId="0" xfId="0" applyNumberFormat="1" applyFont="1" applyFill="1" applyBorder="1" applyAlignment="1">
      <x:alignment vertical="center" wrapText="1"/>
    </x:xf>
    <x:xf numFmtId="0" fontId="53" fillId="200" borderId="0" xfId="0" applyNumberFormat="1" applyFont="1" applyFill="1" applyBorder="1" applyAlignment="1">
      <x:alignment horizontal="center" vertical="center" wrapText="1"/>
    </x:xf>
    <x:xf numFmtId="0" fontId="51" fillId="201" borderId="0" xfId="0" applyNumberFormat="1" applyFont="1" applyFill="1" applyBorder="1" applyAlignment="1">
      <x:alignment vertical="center" wrapText="1"/>
    </x:xf>
    <x:xf numFmtId="0" fontId="29" fillId="201" borderId="0" xfId="0" applyNumberFormat="1" applyFont="1" applyFill="1" applyBorder="1" applyAlignment="1">
      <x:alignment vertical="center" wrapText="1"/>
    </x:xf>
    <x:xf numFmtId="0" fontId="53" fillId="201" borderId="0" xfId="0" applyNumberFormat="1" applyFont="1" applyFill="1" applyBorder="1" applyAlignment="1">
      <x:alignment vertical="center" wrapText="1"/>
    </x:xf>
    <x:xf numFmtId="0" fontId="53" fillId="201" borderId="0" xfId="0" applyNumberFormat="1" applyFont="1" applyFill="1" applyBorder="1" applyAlignment="1">
      <x:alignment horizontal="center" vertical="center" wrapText="1"/>
    </x:xf>
    <x:xf numFmtId="0" fontId="53" fillId="189" borderId="0" xfId="0" applyNumberFormat="1" applyFont="1" applyFill="1" applyBorder="1" applyAlignment="1">
      <x:alignment vertical="center" wrapText="1"/>
    </x:xf>
    <x:xf numFmtId="0" fontId="53" fillId="189" borderId="0" xfId="0" applyNumberFormat="1" applyFont="1" applyFill="1" applyBorder="1" applyAlignment="1">
      <x:alignment horizontal="center" vertical="center" wrapText="1"/>
    </x:xf>
    <x:xf numFmtId="0" fontId="35" fillId="189" borderId="0" xfId="0" applyNumberFormat="1" applyFont="1" applyFill="1" applyBorder="1" applyAlignment="1">
      <x:alignment vertical="center" wrapText="1"/>
    </x:xf>
    <x:xf numFmtId="0" fontId="54" fillId="16" borderId="0" xfId="0" applyNumberFormat="1" applyFont="1" applyFill="1" applyBorder="1" applyAlignment="1">
      <x:alignment vertical="center" wrapText="1"/>
    </x:xf>
    <x:xf numFmtId="0" fontId="54" fillId="6" borderId="0" xfId="0" applyNumberFormat="1" applyFont="1" applyFill="1" applyBorder="1" applyAlignment="1">
      <x:alignment vertical="top" wrapText="1"/>
    </x:xf>
    <x:xf numFmtId="0" fontId="54" fillId="17" borderId="0" xfId="0" applyNumberFormat="1" applyFont="1" applyFill="1" applyBorder="1" applyAlignment="1">
      <x:alignment vertical="top" wrapText="1"/>
    </x:xf>
    <x:xf numFmtId="0" fontId="54" fillId="16" borderId="0" xfId="0" applyNumberFormat="1" applyFont="1" applyFill="1" applyBorder="1" applyAlignment="1">
      <x:alignment vertical="top" wrapText="1"/>
    </x:xf>
    <x:xf numFmtId="0" fontId="54" fillId="202" borderId="0" xfId="0" applyNumberFormat="1" applyFont="1" applyFill="1" applyBorder="1" applyAlignment="1">
      <x:alignment vertical="top" wrapText="1"/>
    </x:xf>
    <x:xf numFmtId="0" fontId="20" fillId="202" borderId="0" xfId="0" applyNumberFormat="1" applyFont="1" applyFill="1" applyBorder="1" applyAlignment="1">
      <x:alignment vertical="top" wrapText="1"/>
    </x:xf>
    <x:xf numFmtId="0" fontId="20" fillId="202" borderId="0" xfId="0" applyNumberFormat="1" applyFont="1" applyFill="1" applyBorder="1" applyAlignment="1">
      <x:alignment vertical="center" wrapText="1"/>
    </x:xf>
    <x:xf numFmtId="0" fontId="25" fillId="203" borderId="0" xfId="0" applyNumberFormat="1" applyFont="1" applyFill="1" applyBorder="1" applyAlignment="1">
      <x:alignment vertical="top" wrapText="1"/>
    </x:xf>
    <x:xf numFmtId="201" fontId="25" fillId="203" borderId="0" xfId="0" applyNumberFormat="1" applyFont="1" applyFill="1" applyBorder="1" applyAlignment="1">
      <x:alignment vertical="top" wrapText="1"/>
    </x:xf>
    <x:xf numFmtId="202" fontId="25" fillId="203" borderId="0" xfId="0" applyNumberFormat="1" applyFont="1" applyFill="1" applyBorder="1" applyAlignment="1">
      <x:alignment vertical="top" wrapText="1"/>
    </x:xf>
    <x:xf numFmtId="0" fontId="28" fillId="203" borderId="0" xfId="0" applyNumberFormat="1" applyFont="1" applyFill="1" applyBorder="1" applyAlignment="1">
      <x:alignment vertical="top" wrapText="1"/>
    </x:xf>
    <x:xf numFmtId="0" fontId="54" fillId="203" borderId="0" xfId="0" applyNumberFormat="1" applyFont="1" applyFill="1" applyBorder="1" applyAlignment="1">
      <x:alignment vertical="top" wrapText="1"/>
    </x:xf>
    <x:xf numFmtId="0" fontId="25" fillId="204" borderId="0" xfId="0" applyNumberFormat="1" applyFont="1" applyFill="1" applyBorder="1" applyAlignment="1">
      <x:alignment vertical="top" wrapText="1"/>
    </x:xf>
    <x:xf numFmtId="0" fontId="25" fillId="205" borderId="0" xfId="0" applyNumberFormat="1" applyFont="1" applyFill="1" applyBorder="1" applyAlignment="1">
      <x:alignment vertical="top" wrapText="1"/>
    </x:xf>
    <x:xf numFmtId="201" fontId="25" fillId="205" borderId="0" xfId="0" applyNumberFormat="1" applyFont="1" applyFill="1" applyBorder="1" applyAlignment="1">
      <x:alignment vertical="top" wrapText="1"/>
    </x:xf>
    <x:xf numFmtId="202" fontId="25" fillId="205" borderId="0" xfId="0" applyNumberFormat="1" applyFont="1" applyFill="1" applyBorder="1" applyAlignment="1">
      <x:alignment vertical="top" wrapText="1"/>
    </x:xf>
    <x:xf numFmtId="0" fontId="28" fillId="205" borderId="0" xfId="0" applyNumberFormat="1" applyFont="1" applyFill="1" applyBorder="1" applyAlignment="1">
      <x:alignment vertical="top" wrapText="1"/>
    </x:xf>
    <x:xf numFmtId="0" fontId="54" fillId="205" borderId="0" xfId="0" applyNumberFormat="1" applyFont="1" applyFill="1" applyBorder="1" applyAlignment="1">
      <x:alignment vertical="top" wrapText="1"/>
    </x:xf>
    <x:xf numFmtId="0" fontId="25" fillId="206" borderId="0" xfId="0" applyNumberFormat="1" applyFont="1" applyFill="1" applyBorder="1" applyAlignment="1">
      <x:alignment vertical="top" wrapText="1"/>
    </x:xf>
    <x:xf numFmtId="0" fontId="25" fillId="207" borderId="0" xfId="0" applyNumberFormat="1" applyFont="1" applyFill="1" applyBorder="1" applyAlignment="1">
      <x:alignment vertical="top" wrapText="1"/>
    </x:xf>
    <x:xf numFmtId="0" fontId="25" fillId="208" borderId="0" xfId="0" applyNumberFormat="1" applyFont="1" applyFill="1" applyBorder="1" applyAlignment="1">
      <x:alignment vertical="top" wrapText="1"/>
    </x:xf>
    <x:xf numFmtId="0" fontId="25" fillId="209" borderId="0" xfId="0" applyNumberFormat="1" applyFont="1" applyFill="1" applyBorder="1" applyAlignment="1">
      <x:alignment vertical="top" wrapText="1"/>
    </x:xf>
    <x:xf numFmtId="0" fontId="25" fillId="210" borderId="0" xfId="0" applyNumberFormat="1" applyFont="1" applyFill="1" applyBorder="1" applyAlignment="1">
      <x:alignment vertical="top" wrapText="1"/>
    </x:xf>
    <x:xf numFmtId="202" fontId="20" fillId="203" borderId="0" xfId="0" applyNumberFormat="1" applyFont="1" applyFill="1" applyBorder="1" applyAlignment="1">
      <x:alignment vertical="center" wrapText="1"/>
    </x:xf>
    <x:xf numFmtId="0" fontId="27" fillId="211" borderId="0" xfId="0" applyNumberFormat="1" applyFont="1" applyFill="1" applyBorder="1" applyAlignment="1">
      <x:alignment vertical="center" wrapText="1"/>
    </x:xf>
    <x:xf numFmtId="0" fontId="20" fillId="203" borderId="0" xfId="0" applyNumberFormat="1" applyFont="1" applyFill="1" applyBorder="1" applyAlignment="1">
      <x:alignment vertical="center" wrapText="1"/>
    </x:xf>
    <x:xf numFmtId="203" fontId="20" fillId="203" borderId="0" xfId="0" applyNumberFormat="1" applyFont="1" applyFill="1" applyBorder="1" applyAlignment="1">
      <x:alignment vertical="center" wrapText="1"/>
    </x:xf>
    <x:xf numFmtId="0" fontId="27" fillId="203" borderId="0" xfId="0" applyNumberFormat="1" applyFont="1" applyFill="1" applyBorder="1" applyAlignment="1">
      <x:alignment vertical="center" wrapText="1"/>
    </x:xf>
    <x:xf numFmtId="0" fontId="0" fillId="203" borderId="0" xfId="0" applyNumberFormat="1" applyFont="1" applyFill="1" applyBorder="1"/>
    <x:xf numFmtId="0" fontId="29" fillId="203" borderId="0" xfId="0" applyNumberFormat="1" applyFont="1" applyFill="1" applyBorder="1" applyAlignment="1">
      <x:alignment vertical="center" wrapText="1"/>
    </x:xf>
    <x:xf numFmtId="0" fontId="30" fillId="203" borderId="0" xfId="0" applyNumberFormat="1" applyFont="1" applyFill="1" applyBorder="1" applyAlignment="1">
      <x:alignment vertical="center" wrapText="1"/>
    </x:xf>
    <x:xf numFmtId="202" fontId="54" fillId="6" borderId="0" xfId="0" applyNumberFormat="1" applyFont="1" applyFill="1" applyBorder="1" applyAlignment="1">
      <x:alignment vertical="center" wrapText="1"/>
    </x:xf>
    <x:xf numFmtId="203" fontId="54" fillId="6" borderId="0" xfId="0" applyNumberFormat="1" applyFont="1" applyFill="1" applyBorder="1" applyAlignment="1">
      <x:alignment vertical="top" wrapText="1"/>
    </x:xf>
    <x:xf numFmtId="202" fontId="54" fillId="6" borderId="0" xfId="0" applyNumberFormat="1" applyFont="1" applyFill="1" applyBorder="1" applyAlignment="1">
      <x:alignment vertical="top" wrapText="1"/>
    </x:xf>
    <x:xf numFmtId="0" fontId="54" fillId="30" borderId="0" xfId="0" applyNumberFormat="1" applyFont="1" applyFill="1" applyBorder="1" applyAlignment="1">
      <x:alignment vertical="top" wrapText="1"/>
    </x:xf>
    <x:xf numFmtId="0" fontId="54" fillId="18" borderId="0" xfId="0" applyNumberFormat="1" applyFont="1" applyFill="1" applyBorder="1" applyAlignment="1">
      <x:alignment vertical="top" wrapText="1"/>
    </x:xf>
    <x:xf numFmtId="203" fontId="54" fillId="17" borderId="0" xfId="0" applyNumberFormat="1" applyFont="1" applyFill="1" applyBorder="1" applyAlignment="1">
      <x:alignment vertical="top" wrapText="1"/>
    </x:xf>
    <x:xf numFmtId="202" fontId="54" fillId="202" borderId="0" xfId="0" applyNumberFormat="1" applyFont="1" applyFill="1" applyBorder="1" applyAlignment="1">
      <x:alignment vertical="top" wrapText="1"/>
    </x:xf>
    <x:xf numFmtId="202" fontId="20" fillId="202" borderId="0" xfId="0" applyNumberFormat="1" applyFont="1" applyFill="1" applyBorder="1" applyAlignment="1">
      <x:alignment vertical="top" wrapText="1"/>
    </x:xf>
    <x:xf numFmtId="202" fontId="20" fillId="202" borderId="0" xfId="0" applyNumberFormat="1" applyFont="1" applyFill="1" applyBorder="1" applyAlignment="1">
      <x:alignment vertical="center" wrapText="1"/>
    </x:xf>
    <x:xf numFmtId="203" fontId="54" fillId="203" borderId="0" xfId="0" applyNumberFormat="1" applyFont="1" applyFill="1" applyBorder="1" applyAlignment="1">
      <x:alignment vertical="top" wrapText="1"/>
    </x:xf>
    <x:xf numFmtId="202" fontId="54" fillId="203" borderId="0" xfId="0" applyNumberFormat="1" applyFont="1" applyFill="1" applyBorder="1" applyAlignment="1">
      <x:alignment vertical="top" wrapText="1"/>
    </x:xf>
    <x:xf numFmtId="203" fontId="54" fillId="205" borderId="0" xfId="0" applyNumberFormat="1" applyFont="1" applyFill="1" applyBorder="1" applyAlignment="1">
      <x:alignment vertical="top" wrapText="1"/>
    </x:xf>
    <x:xf numFmtId="202" fontId="54" fillId="205" borderId="0" xfId="0" applyNumberFormat="1" applyFont="1" applyFill="1" applyBorder="1" applyAlignment="1">
      <x:alignment vertical="top" wrapText="1"/>
    </x:xf>
    <x:xf numFmtId="0" fontId="55" fillId="203" borderId="0" xfId="0" applyNumberFormat="1" applyFont="1" applyFill="1" applyBorder="1" applyAlignment="1">
      <x:alignment vertical="top" wrapText="1"/>
    </x:xf>
    <x:xf numFmtId="0" fontId="55" fillId="205" borderId="0" xfId="0" applyNumberFormat="1" applyFont="1" applyFill="1" applyBorder="1" applyAlignment="1">
      <x:alignment vertical="top" wrapText="1"/>
    </x:xf>
    <x:xf numFmtId="0" fontId="54" fillId="212" borderId="0" xfId="0" applyNumberFormat="1" applyFont="1" applyFill="1" applyBorder="1" applyAlignment="1">
      <x:alignment vertical="top" wrapText="1"/>
    </x:xf>
    <x:xf numFmtId="0" fontId="54" fillId="210" borderId="0" xfId="0" applyNumberFormat="1" applyFont="1" applyFill="1" applyBorder="1" applyAlignment="1">
      <x:alignment vertical="top" wrapText="1"/>
    </x:xf>
    <x:xf numFmtId="0" fontId="26" fillId="203" borderId="0" xfId="0" applyNumberFormat="1" applyFont="1" applyFill="1" applyBorder="1" applyAlignment="1">
      <x:alignment vertical="center" wrapText="1"/>
    </x:xf>
    <x:xf numFmtId="0" fontId="27" fillId="203" borderId="0" xfId="0" applyNumberFormat="1" applyFont="1" applyFill="1" applyBorder="1" applyAlignment="1">
      <x:alignment vertical="top" wrapText="1"/>
    </x:xf>
    <x:xf numFmtId="0" fontId="27" fillId="213" borderId="0" xfId="0" applyNumberFormat="1" applyFont="1" applyFill="1" applyBorder="1" applyAlignment="1">
      <x:alignment vertical="top" wrapText="1"/>
    </x:xf>
    <x:xf numFmtId="0" fontId="26" fillId="213" borderId="0" xfId="0" applyNumberFormat="1" applyFont="1" applyFill="1" applyBorder="1" applyAlignment="1">
      <x:alignment vertical="top" wrapText="1"/>
    </x:xf>
    <x:xf numFmtId="0" fontId="26" fillId="213" borderId="0" xfId="0" applyNumberFormat="1" applyFont="1" applyFill="1" applyBorder="1" applyAlignment="1">
      <x:alignment vertical="center" wrapText="1"/>
    </x:xf>
    <x:xf numFmtId="0" fontId="27" fillId="211" borderId="0" xfId="0" applyNumberFormat="1" applyFont="1" applyFill="1" applyBorder="1" applyAlignment="1">
      <x:alignment vertical="top" wrapText="1"/>
    </x:xf>
    <x:xf numFmtId="0" fontId="27" fillId="202" borderId="0" xfId="0" applyNumberFormat="1" applyFont="1" applyFill="1" applyBorder="1" applyAlignment="1">
      <x:alignment vertical="top" wrapText="1"/>
    </x:xf>
    <x:xf numFmtId="0" fontId="20" fillId="214" borderId="1" xfId="0" applyNumberFormat="1" applyFont="1" applyFill="1" applyBorder="1" applyAlignment="1">
      <x:alignment horizontal="left" vertical="center" wrapText="1"/>
    </x:xf>
    <x:xf numFmtId="165" fontId="34" fillId="214" borderId="1" xfId="0" applyNumberFormat="1" applyFont="1" applyFill="1" applyBorder="1" applyAlignment="1">
      <x:alignment horizontal="left" vertical="center" wrapText="1"/>
    </x:xf>
    <x:xf numFmtId="166" fontId="34" fillId="214" borderId="1" xfId="0" applyNumberFormat="1" applyFont="1" applyFill="1" applyBorder="1" applyAlignment="1">
      <x:alignment horizontal="left" vertical="center" wrapText="1"/>
    </x:xf>
    <x:xf numFmtId="0" fontId="34" fillId="214" borderId="1" xfId="0" applyNumberFormat="1" applyFont="1" applyFill="1" applyBorder="1" applyAlignment="1">
      <x:alignment horizontal="left" vertical="center" wrapText="1"/>
    </x:xf>
    <x:xf numFmtId="0" fontId="34" fillId="214" borderId="0" xfId="0" applyNumberFormat="1" applyFont="1" applyFill="1" applyBorder="1" applyAlignment="1">
      <x:alignment horizontal="left" vertical="center" wrapText="1"/>
    </x:xf>
    <x:xf numFmtId="167" fontId="34" fillId="214" borderId="1" xfId="0" applyNumberFormat="1" applyFont="1" applyFill="1" applyBorder="1" applyAlignment="1">
      <x:alignment horizontal="left" vertical="center" wrapText="1"/>
    </x:xf>
    <x:xf numFmtId="168" fontId="34" fillId="214" borderId="1" xfId="0" applyNumberFormat="1" applyFont="1" applyFill="1" applyBorder="1" applyAlignment="1">
      <x:alignment horizontal="left" vertical="center" wrapText="1"/>
    </x:xf>
    <x:xf numFmtId="170" fontId="34" fillId="214" borderId="1" xfId="0" applyNumberFormat="1" applyFont="1" applyFill="1" applyBorder="1" applyAlignment="1">
      <x:alignment horizontal="left" vertical="center" wrapText="1"/>
    </x:xf>
    <x:xf numFmtId="0" fontId="35" fillId="214" borderId="6" xfId="0" applyNumberFormat="1" applyFont="1" applyFill="1" applyBorder="1" applyAlignment="1">
      <x:alignment horizontal="left" vertical="center" wrapText="1"/>
    </x:xf>
    <x:xf numFmtId="0" fontId="35" fillId="214" borderId="7" xfId="0" applyNumberFormat="1" applyFont="1" applyFill="1" applyBorder="1" applyAlignment="1">
      <x:alignment horizontal="left" vertical="center" wrapText="1"/>
    </x:xf>
    <x:xf numFmtId="0" fontId="35" fillId="214" borderId="8" xfId="0" applyNumberFormat="1" applyFont="1" applyFill="1" applyBorder="1" applyAlignment="1">
      <x:alignment horizontal="left" vertical="center" wrapText="1"/>
    </x:xf>
    <x:xf numFmtId="0" fontId="35" fillId="214" borderId="9" xfId="0" applyNumberFormat="1" applyFont="1" applyFill="1" applyBorder="1" applyAlignment="1">
      <x:alignment horizontal="left" vertical="center" wrapText="1"/>
    </x:xf>
    <x:xf numFmtId="0" fontId="35" fillId="214" borderId="0" xfId="0" applyNumberFormat="1" applyFont="1" applyFill="1" applyBorder="1" applyAlignment="1">
      <x:alignment horizontal="left" vertical="center" wrapText="1"/>
    </x:xf>
    <x:xf numFmtId="0" fontId="35" fillId="214" borderId="10" xfId="0" applyNumberFormat="1" applyFont="1" applyFill="1" applyBorder="1" applyAlignment="1">
      <x:alignment horizontal="left" vertical="center" wrapText="1"/>
    </x:xf>
    <x:xf numFmtId="0" fontId="35" fillId="214" borderId="11" xfId="0" applyNumberFormat="1" applyFont="1" applyFill="1" applyBorder="1" applyAlignment="1">
      <x:alignment horizontal="left" vertical="center" wrapText="1"/>
    </x:xf>
    <x:xf numFmtId="0" fontId="35" fillId="214" borderId="12" xfId="0" applyNumberFormat="1" applyFont="1" applyFill="1" applyBorder="1" applyAlignment="1">
      <x:alignment horizontal="left" vertical="center" wrapText="1"/>
    </x:xf>
    <x:xf numFmtId="0" fontId="35" fillId="214" borderId="13" xfId="0" applyNumberFormat="1" applyFont="1" applyFill="1" applyBorder="1" applyAlignment="1">
      <x:alignment horizontal="left" vertical="center" wrapText="1"/>
    </x:xf>
    <x:xf numFmtId="0" fontId="36" fillId="202" borderId="9" xfId="0" applyNumberFormat="1" applyFont="1" applyFill="1" applyBorder="1" applyAlignment="1">
      <x:alignment horizontal="left" vertical="center" wrapText="1"/>
    </x:xf>
    <x:xf numFmtId="0" fontId="36" fillId="202" borderId="0" xfId="0" applyNumberFormat="1" applyFont="1" applyFill="1" applyBorder="1" applyAlignment="1">
      <x:alignment horizontal="left" vertical="center" wrapText="1"/>
    </x:xf>
    <x:xf numFmtId="0" fontId="36" fillId="202" borderId="10" xfId="0" applyNumberFormat="1" applyFont="1" applyFill="1" applyBorder="1" applyAlignment="1">
      <x:alignment horizontal="left" vertical="center" wrapText="1"/>
    </x:xf>
    <x:xf numFmtId="0" fontId="36" fillId="202" borderId="11" xfId="0" applyNumberFormat="1" applyFont="1" applyFill="1" applyBorder="1" applyAlignment="1">
      <x:alignment horizontal="left" vertical="center" wrapText="1"/>
    </x:xf>
    <x:xf numFmtId="0" fontId="36" fillId="202" borderId="12" xfId="0" applyNumberFormat="1" applyFont="1" applyFill="1" applyBorder="1" applyAlignment="1">
      <x:alignment horizontal="left" vertical="center" wrapText="1"/>
    </x:xf>
    <x:xf numFmtId="0" fontId="36" fillId="202" borderId="13" xfId="0" applyNumberFormat="1" applyFont="1" applyFill="1" applyBorder="1" applyAlignment="1">
      <x:alignment horizontal="left" vertical="center" wrapText="1"/>
    </x:xf>
    <x:xf numFmtId="0" fontId="27" fillId="202" borderId="0" xfId="0" applyNumberFormat="1" applyFont="1" applyFill="1" applyBorder="1" applyAlignment="1">
      <x:alignment vertical="center" wrapText="1"/>
    </x:xf>
    <x:xf numFmtId="0" fontId="52" fillId="213" borderId="0" xfId="0" applyNumberFormat="1" applyFont="1" applyFill="1" applyBorder="1" applyAlignment="1">
      <x:alignment vertical="center" wrapText="1"/>
    </x:xf>
    <x:xf numFmtId="0" fontId="34" fillId="213" borderId="0" xfId="0" applyNumberFormat="1" applyFont="1" applyFill="1" applyBorder="1" applyAlignment="1">
      <x:alignment vertical="center" wrapText="1"/>
    </x:xf>
    <x:xf numFmtId="0" fontId="29" fillId="213" borderId="0" xfId="0" applyNumberFormat="1" applyFont="1" applyFill="1" applyBorder="1" applyAlignment="1">
      <x:alignment vertical="center" wrapText="1"/>
    </x:xf>
    <x:xf numFmtId="0" fontId="20" fillId="213" borderId="0" xfId="0" applyNumberFormat="1" applyFont="1" applyFill="1" applyBorder="1" applyAlignment="1">
      <x:alignment vertical="center" wrapText="1"/>
    </x:xf>
    <x:xf numFmtId="0" fontId="53" fillId="213" borderId="0" xfId="0" applyNumberFormat="1" applyFont="1" applyFill="1" applyBorder="1" applyAlignment="1">
      <x:alignment horizontal="center" vertical="center" wrapText="1"/>
    </x:xf>
    <x:xf numFmtId="0" fontId="51" fillId="213" borderId="0" xfId="0" applyNumberFormat="1" applyFont="1" applyFill="1" applyBorder="1" applyAlignment="1">
      <x:alignment vertical="center" wrapText="1"/>
    </x:xf>
    <x:xf numFmtId="0" fontId="35" fillId="213" borderId="0" xfId="0" applyNumberFormat="1" applyFont="1" applyFill="1" applyBorder="1" applyAlignment="1">
      <x:alignment vertical="center" wrapText="1"/>
    </x:xf>
    <x:xf numFmtId="0" fontId="29" fillId="213" borderId="0" xfId="0" applyNumberFormat="1" applyFont="1" applyFill="1" applyBorder="1" applyAlignment="1">
      <x:alignment horizontal="center" vertical="center" wrapText="1"/>
    </x:xf>
    <x:xf numFmtId="0" fontId="29" fillId="202" borderId="0" xfId="0" applyNumberFormat="1" applyFont="1" applyFill="1" applyBorder="1" applyAlignment="1">
      <x:alignment vertical="center" wrapText="1"/>
    </x:xf>
    <x:xf numFmtId="0" fontId="52" fillId="202" borderId="0" xfId="0" applyNumberFormat="1" applyFont="1" applyFill="1" applyBorder="1" applyAlignment="1">
      <x:alignment vertical="center" wrapText="1"/>
    </x:xf>
    <x:xf numFmtId="0" fontId="29" fillId="214" borderId="0" xfId="0" applyNumberFormat="1" applyFont="1" applyFill="1" applyBorder="1" applyAlignment="1">
      <x:alignment vertical="center" wrapText="1"/>
    </x:xf>
    <x:xf numFmtId="0" fontId="29" fillId="214" borderId="0" xfId="0" applyNumberFormat="1" applyFont="1" applyFill="1" applyBorder="1" applyAlignment="1">
      <x:alignment horizontal="center" vertical="center" wrapText="1"/>
    </x:xf>
    <x:xf numFmtId="0" fontId="53" fillId="214" borderId="0" xfId="0" applyNumberFormat="1" applyFont="1" applyFill="1" applyBorder="1" applyAlignment="1">
      <x:alignment horizontal="center" vertical="center" wrapText="1"/>
    </x:xf>
    <x:xf numFmtId="0" fontId="29" fillId="202" borderId="0" xfId="0" applyNumberFormat="1" applyFont="1" applyFill="1" applyBorder="1" applyAlignment="1">
      <x:alignment horizontal="center" vertical="center" wrapText="1"/>
    </x:xf>
    <x:xf numFmtId="0" fontId="53" fillId="202" borderId="0" xfId="0" applyNumberFormat="1" applyFont="1" applyFill="1" applyBorder="1" applyAlignment="1">
      <x:alignment horizontal="center" vertical="center" wrapText="1"/>
    </x:xf>
    <x:xf numFmtId="0" fontId="35" fillId="202" borderId="0" xfId="0" applyNumberFormat="1" applyFont="1" applyFill="1" applyBorder="1" applyAlignment="1">
      <x:alignment vertical="center" wrapText="1"/>
    </x:xf>
    <x:xf numFmtId="0" fontId="56" fillId="16" borderId="0" xfId="0" applyNumberFormat="1" applyFont="1" applyFill="1" applyBorder="1" applyAlignment="1">
      <x:alignment vertical="center" wrapText="1"/>
    </x:xf>
    <x:xf numFmtId="0" fontId="56" fillId="6" borderId="0" xfId="0" applyNumberFormat="1" applyFont="1" applyFill="1" applyBorder="1" applyAlignment="1">
      <x:alignment vertical="top" wrapText="1"/>
    </x:xf>
    <x:xf numFmtId="0" fontId="56" fillId="17" borderId="0" xfId="0" applyNumberFormat="1" applyFont="1" applyFill="1" applyBorder="1" applyAlignment="1">
      <x:alignment vertical="top" wrapText="1"/>
    </x:xf>
    <x:xf numFmtId="0" fontId="56" fillId="16" borderId="0" xfId="0" applyNumberFormat="1" applyFont="1" applyFill="1" applyBorder="1" applyAlignment="1">
      <x:alignment vertical="top" wrapText="1"/>
    </x:xf>
    <x:xf numFmtId="0" fontId="56" fillId="215" borderId="0" xfId="0" applyNumberFormat="1" applyFont="1" applyFill="1" applyBorder="1" applyAlignment="1">
      <x:alignment vertical="top" wrapText="1"/>
    </x:xf>
    <x:xf numFmtId="0" fontId="20" fillId="215" borderId="0" xfId="0" applyNumberFormat="1" applyFont="1" applyFill="1" applyBorder="1" applyAlignment="1">
      <x:alignment vertical="top" wrapText="1"/>
    </x:xf>
    <x:xf numFmtId="0" fontId="20" fillId="215" borderId="0" xfId="0" applyNumberFormat="1" applyFont="1" applyFill="1" applyBorder="1" applyAlignment="1">
      <x:alignment vertical="center" wrapText="1"/>
    </x:xf>
    <x:xf numFmtId="0" fontId="25" fillId="216" borderId="0" xfId="0" applyNumberFormat="1" applyFont="1" applyFill="1" applyBorder="1" applyAlignment="1">
      <x:alignment vertical="top" wrapText="1"/>
    </x:xf>
    <x:xf numFmtId="201" fontId="25" fillId="216" borderId="0" xfId="0" applyNumberFormat="1" applyFont="1" applyFill="1" applyBorder="1" applyAlignment="1">
      <x:alignment vertical="top" wrapText="1"/>
    </x:xf>
    <x:xf numFmtId="202" fontId="25" fillId="216" borderId="0" xfId="0" applyNumberFormat="1" applyFont="1" applyFill="1" applyBorder="1" applyAlignment="1">
      <x:alignment vertical="top" wrapText="1"/>
    </x:xf>
    <x:xf numFmtId="0" fontId="28" fillId="216" borderId="0" xfId="0" applyNumberFormat="1" applyFont="1" applyFill="1" applyBorder="1" applyAlignment="1">
      <x:alignment vertical="top" wrapText="1"/>
    </x:xf>
    <x:xf numFmtId="0" fontId="56" fillId="216" borderId="0" xfId="0" applyNumberFormat="1" applyFont="1" applyFill="1" applyBorder="1" applyAlignment="1">
      <x:alignment vertical="top" wrapText="1"/>
    </x:xf>
    <x:xf numFmtId="0" fontId="25" fillId="217" borderId="0" xfId="0" applyNumberFormat="1" applyFont="1" applyFill="1" applyBorder="1" applyAlignment="1">
      <x:alignment vertical="top" wrapText="1"/>
    </x:xf>
    <x:xf numFmtId="0" fontId="25" fillId="218" borderId="0" xfId="0" applyNumberFormat="1" applyFont="1" applyFill="1" applyBorder="1" applyAlignment="1">
      <x:alignment vertical="top" wrapText="1"/>
    </x:xf>
    <x:xf numFmtId="201" fontId="25" fillId="218" borderId="0" xfId="0" applyNumberFormat="1" applyFont="1" applyFill="1" applyBorder="1" applyAlignment="1">
      <x:alignment vertical="top" wrapText="1"/>
    </x:xf>
    <x:xf numFmtId="202" fontId="25" fillId="218" borderId="0" xfId="0" applyNumberFormat="1" applyFont="1" applyFill="1" applyBorder="1" applyAlignment="1">
      <x:alignment vertical="top" wrapText="1"/>
    </x:xf>
    <x:xf numFmtId="0" fontId="28" fillId="218" borderId="0" xfId="0" applyNumberFormat="1" applyFont="1" applyFill="1" applyBorder="1" applyAlignment="1">
      <x:alignment vertical="top" wrapText="1"/>
    </x:xf>
    <x:xf numFmtId="0" fontId="56" fillId="218" borderId="0" xfId="0" applyNumberFormat="1" applyFont="1" applyFill="1" applyBorder="1" applyAlignment="1">
      <x:alignment vertical="top" wrapText="1"/>
    </x:xf>
    <x:xf numFmtId="0" fontId="25" fillId="219" borderId="0" xfId="0" applyNumberFormat="1" applyFont="1" applyFill="1" applyBorder="1" applyAlignment="1">
      <x:alignment vertical="top" wrapText="1"/>
    </x:xf>
    <x:xf numFmtId="0" fontId="25" fillId="220" borderId="0" xfId="0" applyNumberFormat="1" applyFont="1" applyFill="1" applyBorder="1" applyAlignment="1">
      <x:alignment vertical="top" wrapText="1"/>
    </x:xf>
    <x:xf numFmtId="0" fontId="25" fillId="221" borderId="0" xfId="0" applyNumberFormat="1" applyFont="1" applyFill="1" applyBorder="1" applyAlignment="1">
      <x:alignment vertical="top" wrapText="1"/>
    </x:xf>
    <x:xf numFmtId="0" fontId="25" fillId="222" borderId="0" xfId="0" applyNumberFormat="1" applyFont="1" applyFill="1" applyBorder="1" applyAlignment="1">
      <x:alignment vertical="top" wrapText="1"/>
    </x:xf>
    <x:xf numFmtId="0" fontId="25" fillId="223" borderId="0" xfId="0" applyNumberFormat="1" applyFont="1" applyFill="1" applyBorder="1" applyAlignment="1">
      <x:alignment vertical="top" wrapText="1"/>
    </x:xf>
    <x:xf numFmtId="202" fontId="20" fillId="216" borderId="0" xfId="0" applyNumberFormat="1" applyFont="1" applyFill="1" applyBorder="1" applyAlignment="1">
      <x:alignment vertical="center" wrapText="1"/>
    </x:xf>
    <x:xf numFmtId="0" fontId="27" fillId="224" borderId="0" xfId="0" applyNumberFormat="1" applyFont="1" applyFill="1" applyBorder="1" applyAlignment="1">
      <x:alignment vertical="center" wrapText="1"/>
    </x:xf>
    <x:xf numFmtId="0" fontId="20" fillId="216" borderId="0" xfId="0" applyNumberFormat="1" applyFont="1" applyFill="1" applyBorder="1" applyAlignment="1">
      <x:alignment vertical="center" wrapText="1"/>
    </x:xf>
    <x:xf numFmtId="203" fontId="20" fillId="216" borderId="0" xfId="0" applyNumberFormat="1" applyFont="1" applyFill="1" applyBorder="1" applyAlignment="1">
      <x:alignment vertical="center" wrapText="1"/>
    </x:xf>
    <x:xf numFmtId="0" fontId="27" fillId="216" borderId="0" xfId="0" applyNumberFormat="1" applyFont="1" applyFill="1" applyBorder="1" applyAlignment="1">
      <x:alignment vertical="center" wrapText="1"/>
    </x:xf>
    <x:xf numFmtId="0" fontId="0" fillId="216" borderId="0" xfId="0" applyNumberFormat="1" applyFont="1" applyFill="1" applyBorder="1"/>
    <x:xf numFmtId="0" fontId="29" fillId="216" borderId="0" xfId="0" applyNumberFormat="1" applyFont="1" applyFill="1" applyBorder="1" applyAlignment="1">
      <x:alignment vertical="center" wrapText="1"/>
    </x:xf>
    <x:xf numFmtId="0" fontId="30" fillId="216" borderId="0" xfId="0" applyNumberFormat="1" applyFont="1" applyFill="1" applyBorder="1" applyAlignment="1">
      <x:alignment vertical="center" wrapText="1"/>
    </x:xf>
    <x:xf numFmtId="202" fontId="56" fillId="6" borderId="0" xfId="0" applyNumberFormat="1" applyFont="1" applyFill="1" applyBorder="1" applyAlignment="1">
      <x:alignment vertical="center" wrapText="1"/>
    </x:xf>
    <x:xf numFmtId="203" fontId="56" fillId="6" borderId="0" xfId="0" applyNumberFormat="1" applyFont="1" applyFill="1" applyBorder="1" applyAlignment="1">
      <x:alignment vertical="top" wrapText="1"/>
    </x:xf>
    <x:xf numFmtId="202" fontId="56" fillId="6" borderId="0" xfId="0" applyNumberFormat="1" applyFont="1" applyFill="1" applyBorder="1" applyAlignment="1">
      <x:alignment vertical="top" wrapText="1"/>
    </x:xf>
    <x:xf numFmtId="0" fontId="56" fillId="30" borderId="0" xfId="0" applyNumberFormat="1" applyFont="1" applyFill="1" applyBorder="1" applyAlignment="1">
      <x:alignment vertical="top" wrapText="1"/>
    </x:xf>
    <x:xf numFmtId="0" fontId="56" fillId="18" borderId="0" xfId="0" applyNumberFormat="1" applyFont="1" applyFill="1" applyBorder="1" applyAlignment="1">
      <x:alignment vertical="top" wrapText="1"/>
    </x:xf>
    <x:xf numFmtId="203" fontId="56" fillId="17" borderId="0" xfId="0" applyNumberFormat="1" applyFont="1" applyFill="1" applyBorder="1" applyAlignment="1">
      <x:alignment vertical="top" wrapText="1"/>
    </x:xf>
    <x:xf numFmtId="202" fontId="56" fillId="215" borderId="0" xfId="0" applyNumberFormat="1" applyFont="1" applyFill="1" applyBorder="1" applyAlignment="1">
      <x:alignment vertical="top" wrapText="1"/>
    </x:xf>
    <x:xf numFmtId="202" fontId="20" fillId="215" borderId="0" xfId="0" applyNumberFormat="1" applyFont="1" applyFill="1" applyBorder="1" applyAlignment="1">
      <x:alignment vertical="top" wrapText="1"/>
    </x:xf>
    <x:xf numFmtId="202" fontId="20" fillId="215" borderId="0" xfId="0" applyNumberFormat="1" applyFont="1" applyFill="1" applyBorder="1" applyAlignment="1">
      <x:alignment vertical="center" wrapText="1"/>
    </x:xf>
    <x:xf numFmtId="203" fontId="56" fillId="216" borderId="0" xfId="0" applyNumberFormat="1" applyFont="1" applyFill="1" applyBorder="1" applyAlignment="1">
      <x:alignment vertical="top" wrapText="1"/>
    </x:xf>
    <x:xf numFmtId="202" fontId="56" fillId="216" borderId="0" xfId="0" applyNumberFormat="1" applyFont="1" applyFill="1" applyBorder="1" applyAlignment="1">
      <x:alignment vertical="top" wrapText="1"/>
    </x:xf>
    <x:xf numFmtId="203" fontId="56" fillId="218" borderId="0" xfId="0" applyNumberFormat="1" applyFont="1" applyFill="1" applyBorder="1" applyAlignment="1">
      <x:alignment vertical="top" wrapText="1"/>
    </x:xf>
    <x:xf numFmtId="202" fontId="56" fillId="218" borderId="0" xfId="0" applyNumberFormat="1" applyFont="1" applyFill="1" applyBorder="1" applyAlignment="1">
      <x:alignment vertical="top" wrapText="1"/>
    </x:xf>
    <x:xf numFmtId="0" fontId="57" fillId="216" borderId="0" xfId="0" applyNumberFormat="1" applyFont="1" applyFill="1" applyBorder="1" applyAlignment="1">
      <x:alignment vertical="top" wrapText="1"/>
    </x:xf>
    <x:xf numFmtId="0" fontId="57" fillId="218" borderId="0" xfId="0" applyNumberFormat="1" applyFont="1" applyFill="1" applyBorder="1" applyAlignment="1">
      <x:alignment vertical="top" wrapText="1"/>
    </x:xf>
    <x:xf numFmtId="0" fontId="56" fillId="225" borderId="0" xfId="0" applyNumberFormat="1" applyFont="1" applyFill="1" applyBorder="1" applyAlignment="1">
      <x:alignment vertical="top" wrapText="1"/>
    </x:xf>
    <x:xf numFmtId="0" fontId="56" fillId="223" borderId="0" xfId="0" applyNumberFormat="1" applyFont="1" applyFill="1" applyBorder="1" applyAlignment="1">
      <x:alignment vertical="top" wrapText="1"/>
    </x:xf>
    <x:xf numFmtId="0" fontId="20" fillId="224" borderId="0" xfId="0" applyNumberFormat="1" applyFont="1" applyFill="1" applyBorder="1" applyAlignment="1">
      <x:alignment vertical="center" wrapText="1"/>
    </x:xf>
    <x:xf numFmtId="0" fontId="27" fillId="216" borderId="0" xfId="0" applyNumberFormat="1" applyFont="1" applyFill="1" applyBorder="1" applyAlignment="1">
      <x:alignment vertical="top" wrapText="1"/>
    </x:xf>
    <x:xf numFmtId="0" fontId="27" fillId="215" borderId="0" xfId="0" applyNumberFormat="1" applyFont="1" applyFill="1" applyBorder="1" applyAlignment="1">
      <x:alignment vertical="center" wrapText="1"/>
    </x:xf>
    <x:xf numFmtId="0" fontId="25" fillId="224" borderId="0" xfId="0" applyNumberFormat="1" applyFont="1" applyFill="1" applyBorder="1" applyAlignment="1">
      <x:alignment vertical="top" wrapText="1"/>
    </x:xf>
    <x:xf numFmtId="0" fontId="27" fillId="224" borderId="0" xfId="0" applyNumberFormat="1" applyFont="1" applyFill="1" applyBorder="1" applyAlignment="1">
      <x:alignment vertical="top" wrapText="1"/>
    </x:xf>
    <x:xf numFmtId="0" fontId="30" fillId="216" borderId="0" xfId="0" applyNumberFormat="1" applyFont="1" applyFill="1" applyBorder="1" applyAlignment="1">
      <x:alignment vertical="top" wrapText="1"/>
    </x:xf>
    <x:xf numFmtId="0" fontId="26" fillId="216" borderId="0" xfId="0" applyNumberFormat="1" applyFont="1" applyFill="1" applyBorder="1" applyAlignment="1">
      <x:alignment vertical="center" wrapText="1"/>
    </x:xf>
    <x:xf numFmtId="0" fontId="27" fillId="226" borderId="0" xfId="0" applyNumberFormat="1" applyFont="1" applyFill="1" applyBorder="1" applyAlignment="1">
      <x:alignment vertical="top" wrapText="1"/>
    </x:xf>
    <x:xf numFmtId="0" fontId="26" fillId="226" borderId="0" xfId="0" applyNumberFormat="1" applyFont="1" applyFill="1" applyBorder="1" applyAlignment="1">
      <x:alignment vertical="top" wrapText="1"/>
    </x:xf>
    <x:xf numFmtId="0" fontId="26" fillId="226" borderId="0" xfId="0" applyNumberFormat="1" applyFont="1" applyFill="1" applyBorder="1" applyAlignment="1">
      <x:alignment vertical="center" wrapText="1"/>
    </x:xf>
    <x:xf numFmtId="0" fontId="27" fillId="215" borderId="0" xfId="0" applyNumberFormat="1" applyFont="1" applyFill="1" applyBorder="1" applyAlignment="1">
      <x:alignment vertical="top" wrapText="1"/>
    </x:xf>
    <x:xf numFmtId="0" fontId="20" fillId="227" borderId="1" xfId="0" applyNumberFormat="1" applyFont="1" applyFill="1" applyBorder="1" applyAlignment="1">
      <x:alignment horizontal="left" vertical="center" wrapText="1"/>
    </x:xf>
    <x:xf numFmtId="165" fontId="34" fillId="227" borderId="1" xfId="0" applyNumberFormat="1" applyFont="1" applyFill="1" applyBorder="1" applyAlignment="1">
      <x:alignment horizontal="left" vertical="center" wrapText="1"/>
    </x:xf>
    <x:xf numFmtId="166" fontId="34" fillId="227" borderId="1" xfId="0" applyNumberFormat="1" applyFont="1" applyFill="1" applyBorder="1" applyAlignment="1">
      <x:alignment horizontal="left" vertical="center" wrapText="1"/>
    </x:xf>
    <x:xf numFmtId="0" fontId="34" fillId="227" borderId="1" xfId="0" applyNumberFormat="1" applyFont="1" applyFill="1" applyBorder="1" applyAlignment="1">
      <x:alignment horizontal="left" vertical="center" wrapText="1"/>
    </x:xf>
    <x:xf numFmtId="0" fontId="34" fillId="227" borderId="0" xfId="0" applyNumberFormat="1" applyFont="1" applyFill="1" applyBorder="1" applyAlignment="1">
      <x:alignment horizontal="left" vertical="center" wrapText="1"/>
    </x:xf>
    <x:xf numFmtId="167" fontId="34" fillId="227" borderId="1" xfId="0" applyNumberFormat="1" applyFont="1" applyFill="1" applyBorder="1" applyAlignment="1">
      <x:alignment horizontal="left" vertical="center" wrapText="1"/>
    </x:xf>
    <x:xf numFmtId="168" fontId="34" fillId="227" borderId="1" xfId="0" applyNumberFormat="1" applyFont="1" applyFill="1" applyBorder="1" applyAlignment="1">
      <x:alignment horizontal="left" vertical="center" wrapText="1"/>
    </x:xf>
    <x:xf numFmtId="170" fontId="34" fillId="227" borderId="1" xfId="0" applyNumberFormat="1" applyFont="1" applyFill="1" applyBorder="1" applyAlignment="1">
      <x:alignment horizontal="left" vertical="center" wrapText="1"/>
    </x:xf>
    <x:xf numFmtId="0" fontId="35" fillId="227" borderId="6" xfId="0" applyNumberFormat="1" applyFont="1" applyFill="1" applyBorder="1" applyAlignment="1">
      <x:alignment horizontal="left" vertical="center" wrapText="1"/>
    </x:xf>
    <x:xf numFmtId="0" fontId="35" fillId="227" borderId="7" xfId="0" applyNumberFormat="1" applyFont="1" applyFill="1" applyBorder="1" applyAlignment="1">
      <x:alignment horizontal="left" vertical="center" wrapText="1"/>
    </x:xf>
    <x:xf numFmtId="0" fontId="35" fillId="227" borderId="8" xfId="0" applyNumberFormat="1" applyFont="1" applyFill="1" applyBorder="1" applyAlignment="1">
      <x:alignment horizontal="left" vertical="center" wrapText="1"/>
    </x:xf>
    <x:xf numFmtId="0" fontId="35" fillId="227" borderId="9" xfId="0" applyNumberFormat="1" applyFont="1" applyFill="1" applyBorder="1" applyAlignment="1">
      <x:alignment horizontal="left" vertical="center" wrapText="1"/>
    </x:xf>
    <x:xf numFmtId="0" fontId="35" fillId="227" borderId="0" xfId="0" applyNumberFormat="1" applyFont="1" applyFill="1" applyBorder="1" applyAlignment="1">
      <x:alignment horizontal="left" vertical="center" wrapText="1"/>
    </x:xf>
    <x:xf numFmtId="0" fontId="35" fillId="227" borderId="10" xfId="0" applyNumberFormat="1" applyFont="1" applyFill="1" applyBorder="1" applyAlignment="1">
      <x:alignment horizontal="left" vertical="center" wrapText="1"/>
    </x:xf>
    <x:xf numFmtId="0" fontId="35" fillId="227" borderId="11" xfId="0" applyNumberFormat="1" applyFont="1" applyFill="1" applyBorder="1" applyAlignment="1">
      <x:alignment horizontal="left" vertical="center" wrapText="1"/>
    </x:xf>
    <x:xf numFmtId="0" fontId="35" fillId="227" borderId="12" xfId="0" applyNumberFormat="1" applyFont="1" applyFill="1" applyBorder="1" applyAlignment="1">
      <x:alignment horizontal="left" vertical="center" wrapText="1"/>
    </x:xf>
    <x:xf numFmtId="0" fontId="35" fillId="227" borderId="13" xfId="0" applyNumberFormat="1" applyFont="1" applyFill="1" applyBorder="1" applyAlignment="1">
      <x:alignment horizontal="left" vertical="center" wrapText="1"/>
    </x:xf>
    <x:xf numFmtId="0" fontId="36" fillId="215" borderId="9" xfId="0" applyNumberFormat="1" applyFont="1" applyFill="1" applyBorder="1" applyAlignment="1">
      <x:alignment horizontal="left" vertical="center" wrapText="1"/>
    </x:xf>
    <x:xf numFmtId="0" fontId="36" fillId="215" borderId="0" xfId="0" applyNumberFormat="1" applyFont="1" applyFill="1" applyBorder="1" applyAlignment="1">
      <x:alignment horizontal="left" vertical="center" wrapText="1"/>
    </x:xf>
    <x:xf numFmtId="0" fontId="36" fillId="215" borderId="10" xfId="0" applyNumberFormat="1" applyFont="1" applyFill="1" applyBorder="1" applyAlignment="1">
      <x:alignment horizontal="left" vertical="center" wrapText="1"/>
    </x:xf>
    <x:xf numFmtId="0" fontId="36" fillId="215" borderId="11" xfId="0" applyNumberFormat="1" applyFont="1" applyFill="1" applyBorder="1" applyAlignment="1">
      <x:alignment horizontal="left" vertical="center" wrapText="1"/>
    </x:xf>
    <x:xf numFmtId="0" fontId="36" fillId="215" borderId="12" xfId="0" applyNumberFormat="1" applyFont="1" applyFill="1" applyBorder="1" applyAlignment="1">
      <x:alignment horizontal="left" vertical="center" wrapText="1"/>
    </x:xf>
    <x:xf numFmtId="0" fontId="36" fillId="215" borderId="13" xfId="0" applyNumberFormat="1" applyFont="1" applyFill="1" applyBorder="1" applyAlignment="1">
      <x:alignment horizontal="left" vertical="center" wrapText="1"/>
    </x:xf>
    <x:xf numFmtId="0" fontId="52" fillId="226" borderId="0" xfId="0" applyNumberFormat="1" applyFont="1" applyFill="1" applyBorder="1" applyAlignment="1">
      <x:alignment vertical="center" wrapText="1"/>
    </x:xf>
    <x:xf numFmtId="0" fontId="34" fillId="226" borderId="0" xfId="0" applyNumberFormat="1" applyFont="1" applyFill="1" applyBorder="1" applyAlignment="1">
      <x:alignment vertical="center" wrapText="1"/>
    </x:xf>
    <x:xf numFmtId="0" fontId="29" fillId="226" borderId="0" xfId="0" applyNumberFormat="1" applyFont="1" applyFill="1" applyBorder="1" applyAlignment="1">
      <x:alignment vertical="center" wrapText="1"/>
    </x:xf>
    <x:xf numFmtId="0" fontId="20" fillId="226" borderId="0" xfId="0" applyNumberFormat="1" applyFont="1" applyFill="1" applyBorder="1" applyAlignment="1">
      <x:alignment vertical="center" wrapText="1"/>
    </x:xf>
    <x:xf numFmtId="0" fontId="53" fillId="226" borderId="0" xfId="0" applyNumberFormat="1" applyFont="1" applyFill="1" applyBorder="1" applyAlignment="1">
      <x:alignment horizontal="center" vertical="center" wrapText="1"/>
    </x:xf>
    <x:xf numFmtId="0" fontId="51" fillId="226" borderId="0" xfId="0" applyNumberFormat="1" applyFont="1" applyFill="1" applyBorder="1" applyAlignment="1">
      <x:alignment vertical="center" wrapText="1"/>
    </x:xf>
    <x:xf numFmtId="0" fontId="35" fillId="226" borderId="0" xfId="0" applyNumberFormat="1" applyFont="1" applyFill="1" applyBorder="1" applyAlignment="1">
      <x:alignment vertical="center" wrapText="1"/>
    </x:xf>
    <x:xf numFmtId="0" fontId="29" fillId="226" borderId="0" xfId="0" applyNumberFormat="1" applyFont="1" applyFill="1" applyBorder="1" applyAlignment="1">
      <x:alignment horizontal="center" vertical="center" wrapText="1"/>
    </x:xf>
    <x:xf numFmtId="0" fontId="29" fillId="215" borderId="0" xfId="0" applyNumberFormat="1" applyFont="1" applyFill="1" applyBorder="1" applyAlignment="1">
      <x:alignment vertical="center" wrapText="1"/>
    </x:xf>
    <x:xf numFmtId="0" fontId="52" fillId="215" borderId="0" xfId="0" applyNumberFormat="1" applyFont="1" applyFill="1" applyBorder="1" applyAlignment="1">
      <x:alignment vertical="center" wrapText="1"/>
    </x:xf>
    <x:xf numFmtId="0" fontId="29" fillId="227" borderId="0" xfId="0" applyNumberFormat="1" applyFont="1" applyFill="1" applyBorder="1" applyAlignment="1">
      <x:alignment vertical="center" wrapText="1"/>
    </x:xf>
    <x:xf numFmtId="0" fontId="29" fillId="227" borderId="0" xfId="0" applyNumberFormat="1" applyFont="1" applyFill="1" applyBorder="1" applyAlignment="1">
      <x:alignment horizontal="center" vertical="center" wrapText="1"/>
    </x:xf>
    <x:xf numFmtId="0" fontId="53" fillId="227" borderId="0" xfId="0" applyNumberFormat="1" applyFont="1" applyFill="1" applyBorder="1" applyAlignment="1">
      <x:alignment horizontal="center" vertical="center" wrapText="1"/>
    </x:xf>
    <x:xf numFmtId="0" fontId="29" fillId="215" borderId="0" xfId="0" applyNumberFormat="1" applyFont="1" applyFill="1" applyBorder="1" applyAlignment="1">
      <x:alignment horizontal="center" vertical="center" wrapText="1"/>
    </x:xf>
    <x:xf numFmtId="0" fontId="53" fillId="215" borderId="0" xfId="0" applyNumberFormat="1" applyFont="1" applyFill="1" applyBorder="1" applyAlignment="1">
      <x:alignment horizontal="center" vertical="center" wrapText="1"/>
    </x:xf>
    <x:xf numFmtId="0" fontId="35" fillId="215" borderId="0" xfId="0" applyNumberFormat="1" applyFont="1" applyFill="1" applyBorder="1" applyAlignment="1">
      <x:alignment vertical="center" wrapText="1"/>
    </x:xf>
    <x:xf numFmtId="0" fontId="58" fillId="16" borderId="0" xfId="0" applyNumberFormat="1" applyFont="1" applyFill="1" applyBorder="1" applyAlignment="1">
      <x:alignment vertical="center" wrapText="1"/>
    </x:xf>
    <x:xf numFmtId="0" fontId="58" fillId="6" borderId="0" xfId="0" applyNumberFormat="1" applyFont="1" applyFill="1" applyBorder="1" applyAlignment="1">
      <x:alignment vertical="top" wrapText="1"/>
    </x:xf>
    <x:xf numFmtId="0" fontId="58" fillId="17" borderId="0" xfId="0" applyNumberFormat="1" applyFont="1" applyFill="1" applyBorder="1" applyAlignment="1">
      <x:alignment vertical="top" wrapText="1"/>
    </x:xf>
    <x:xf numFmtId="0" fontId="58" fillId="16" borderId="0" xfId="0" applyNumberFormat="1" applyFont="1" applyFill="1" applyBorder="1" applyAlignment="1">
      <x:alignment vertical="top" wrapText="1"/>
    </x:xf>
    <x:xf numFmtId="0" fontId="58" fillId="228" borderId="0" xfId="0" applyNumberFormat="1" applyFont="1" applyFill="1" applyBorder="1" applyAlignment="1">
      <x:alignment vertical="top" wrapText="1"/>
    </x:xf>
    <x:xf numFmtId="0" fontId="20" fillId="228" borderId="0" xfId="0" applyNumberFormat="1" applyFont="1" applyFill="1" applyBorder="1" applyAlignment="1">
      <x:alignment vertical="top" wrapText="1"/>
    </x:xf>
    <x:xf numFmtId="0" fontId="20" fillId="228" borderId="0" xfId="0" applyNumberFormat="1" applyFont="1" applyFill="1" applyBorder="1" applyAlignment="1">
      <x:alignment vertical="center" wrapText="1"/>
    </x:xf>
    <x:xf numFmtId="0" fontId="25" fillId="229" borderId="0" xfId="0" applyNumberFormat="1" applyFont="1" applyFill="1" applyBorder="1" applyAlignment="1">
      <x:alignment vertical="top" wrapText="1"/>
    </x:xf>
    <x:xf numFmtId="201" fontId="25" fillId="229" borderId="0" xfId="0" applyNumberFormat="1" applyFont="1" applyFill="1" applyBorder="1" applyAlignment="1">
      <x:alignment vertical="top" wrapText="1"/>
    </x:xf>
    <x:xf numFmtId="202" fontId="25" fillId="229" borderId="0" xfId="0" applyNumberFormat="1" applyFont="1" applyFill="1" applyBorder="1" applyAlignment="1">
      <x:alignment vertical="top" wrapText="1"/>
    </x:xf>
    <x:xf numFmtId="0" fontId="28" fillId="229" borderId="0" xfId="0" applyNumberFormat="1" applyFont="1" applyFill="1" applyBorder="1" applyAlignment="1">
      <x:alignment vertical="top" wrapText="1"/>
    </x:xf>
    <x:xf numFmtId="0" fontId="58" fillId="229" borderId="0" xfId="0" applyNumberFormat="1" applyFont="1" applyFill="1" applyBorder="1" applyAlignment="1">
      <x:alignment vertical="top" wrapText="1"/>
    </x:xf>
    <x:xf numFmtId="0" fontId="25" fillId="230" borderId="0" xfId="0" applyNumberFormat="1" applyFont="1" applyFill="1" applyBorder="1" applyAlignment="1">
      <x:alignment vertical="top" wrapText="1"/>
    </x:xf>
    <x:xf numFmtId="0" fontId="25" fillId="231" borderId="0" xfId="0" applyNumberFormat="1" applyFont="1" applyFill="1" applyBorder="1" applyAlignment="1">
      <x:alignment vertical="top" wrapText="1"/>
    </x:xf>
    <x:xf numFmtId="201" fontId="25" fillId="231" borderId="0" xfId="0" applyNumberFormat="1" applyFont="1" applyFill="1" applyBorder="1" applyAlignment="1">
      <x:alignment vertical="top" wrapText="1"/>
    </x:xf>
    <x:xf numFmtId="202" fontId="25" fillId="231" borderId="0" xfId="0" applyNumberFormat="1" applyFont="1" applyFill="1" applyBorder="1" applyAlignment="1">
      <x:alignment vertical="top" wrapText="1"/>
    </x:xf>
    <x:xf numFmtId="0" fontId="28" fillId="231" borderId="0" xfId="0" applyNumberFormat="1" applyFont="1" applyFill="1" applyBorder="1" applyAlignment="1">
      <x:alignment vertical="top" wrapText="1"/>
    </x:xf>
    <x:xf numFmtId="0" fontId="58" fillId="231" borderId="0" xfId="0" applyNumberFormat="1" applyFont="1" applyFill="1" applyBorder="1" applyAlignment="1">
      <x:alignment vertical="top" wrapText="1"/>
    </x:xf>
    <x:xf numFmtId="0" fontId="25" fillId="232" borderId="0" xfId="0" applyNumberFormat="1" applyFont="1" applyFill="1" applyBorder="1" applyAlignment="1">
      <x:alignment vertical="top" wrapText="1"/>
    </x:xf>
    <x:xf numFmtId="0" fontId="25" fillId="233" borderId="0" xfId="0" applyNumberFormat="1" applyFont="1" applyFill="1" applyBorder="1" applyAlignment="1">
      <x:alignment vertical="top" wrapText="1"/>
    </x:xf>
    <x:xf numFmtId="0" fontId="25" fillId="234" borderId="0" xfId="0" applyNumberFormat="1" applyFont="1" applyFill="1" applyBorder="1" applyAlignment="1">
      <x:alignment vertical="top" wrapText="1"/>
    </x:xf>
    <x:xf numFmtId="0" fontId="25" fillId="235" borderId="0" xfId="0" applyNumberFormat="1" applyFont="1" applyFill="1" applyBorder="1" applyAlignment="1">
      <x:alignment vertical="top" wrapText="1"/>
    </x:xf>
    <x:xf numFmtId="0" fontId="25" fillId="236" borderId="0" xfId="0" applyNumberFormat="1" applyFont="1" applyFill="1" applyBorder="1" applyAlignment="1">
      <x:alignment vertical="top" wrapText="1"/>
    </x:xf>
    <x:xf numFmtId="202" fontId="20" fillId="229" borderId="0" xfId="0" applyNumberFormat="1" applyFont="1" applyFill="1" applyBorder="1" applyAlignment="1">
      <x:alignment vertical="center" wrapText="1"/>
    </x:xf>
    <x:xf numFmtId="0" fontId="27" fillId="237" borderId="0" xfId="0" applyNumberFormat="1" applyFont="1" applyFill="1" applyBorder="1" applyAlignment="1">
      <x:alignment vertical="center" wrapText="1"/>
    </x:xf>
    <x:xf numFmtId="0" fontId="20" fillId="229" borderId="0" xfId="0" applyNumberFormat="1" applyFont="1" applyFill="1" applyBorder="1" applyAlignment="1">
      <x:alignment vertical="center" wrapText="1"/>
    </x:xf>
    <x:xf numFmtId="0" fontId="27" fillId="229" borderId="0" xfId="0" applyNumberFormat="1" applyFont="1" applyFill="1" applyBorder="1" applyAlignment="1">
      <x:alignment vertical="center" wrapText="1"/>
    </x:xf>
    <x:xf numFmtId="0" fontId="0" fillId="229" borderId="0" xfId="0" applyNumberFormat="1" applyFont="1" applyFill="1" applyBorder="1"/>
    <x:xf numFmtId="0" fontId="29" fillId="229" borderId="0" xfId="0" applyNumberFormat="1" applyFont="1" applyFill="1" applyBorder="1" applyAlignment="1">
      <x:alignment vertical="center" wrapText="1"/>
    </x:xf>
    <x:xf numFmtId="0" fontId="30" fillId="229" borderId="0" xfId="0" applyNumberFormat="1" applyFont="1" applyFill="1" applyBorder="1" applyAlignment="1">
      <x:alignment vertical="center" wrapText="1"/>
    </x:xf>
    <x:xf numFmtId="202" fontId="58" fillId="6" borderId="0" xfId="0" applyNumberFormat="1" applyFont="1" applyFill="1" applyBorder="1" applyAlignment="1">
      <x:alignment vertical="center" wrapText="1"/>
    </x:xf>
    <x:xf numFmtId="0" fontId="58" fillId="0" borderId="0" xfId="0" applyNumberFormat="1" applyFont="1" applyFill="1" applyBorder="1"/>
    <x:xf numFmtId="203" fontId="58" fillId="6" borderId="0" xfId="0" applyNumberFormat="1" applyFont="1" applyFill="1" applyBorder="1" applyAlignment="1">
      <x:alignment vertical="top" wrapText="1"/>
    </x:xf>
    <x:xf numFmtId="202" fontId="58" fillId="6" borderId="0" xfId="0" applyNumberFormat="1" applyFont="1" applyFill="1" applyBorder="1" applyAlignment="1">
      <x:alignment vertical="top" wrapText="1"/>
    </x:xf>
    <x:xf numFmtId="0" fontId="58" fillId="30" borderId="0" xfId="0" applyNumberFormat="1" applyFont="1" applyFill="1" applyBorder="1" applyAlignment="1">
      <x:alignment vertical="top" wrapText="1"/>
    </x:xf>
    <x:xf numFmtId="0" fontId="58" fillId="18" borderId="0" xfId="0" applyNumberFormat="1" applyFont="1" applyFill="1" applyBorder="1" applyAlignment="1">
      <x:alignment vertical="top" wrapText="1"/>
    </x:xf>
    <x:xf numFmtId="203" fontId="58" fillId="17" borderId="0" xfId="0" applyNumberFormat="1" applyFont="1" applyFill="1" applyBorder="1" applyAlignment="1">
      <x:alignment vertical="top" wrapText="1"/>
    </x:xf>
    <x:xf numFmtId="0" fontId="58" fillId="6" borderId="0" xfId="0" applyNumberFormat="1" applyFont="1" applyFill="1" applyBorder="1" applyAlignment="1">
      <x:alignment vertical="center" wrapText="1"/>
    </x:xf>
    <x:xf numFmtId="203" fontId="58" fillId="6" borderId="0" xfId="0" applyNumberFormat="1" applyFont="1" applyFill="1" applyBorder="1" applyAlignment="1">
      <x:alignment vertical="center" wrapText="1"/>
    </x:xf>
    <x:xf numFmtId="0" fontId="58" fillId="6" borderId="0" xfId="0" applyNumberFormat="1" applyFont="1" applyFill="1" applyBorder="1"/>
    <x:xf numFmtId="0" fontId="58" fillId="0" borderId="0" xfId="0" applyNumberFormat="1" applyFont="1" applyFill="1" applyBorder="1" applyAlignment="1">
      <x:alignment wrapText="1"/>
    </x:xf>
    <x:xf numFmtId="0" fontId="58" fillId="6" borderId="0" xfId="0" applyNumberFormat="1" applyFont="1" applyFill="1" applyBorder="1" applyAlignment="1">
      <x:alignment wrapText="1"/>
    </x:xf>
    <x:xf numFmtId="0" fontId="58" fillId="0" borderId="0" xfId="0" applyNumberFormat="1" applyFont="1" applyFill="1" applyBorder="1" applyAlignment="1">
      <x:alignment vertical="top" wrapText="1"/>
    </x:xf>
    <x:xf numFmtId="202" fontId="58" fillId="228" borderId="0" xfId="0" applyNumberFormat="1" applyFont="1" applyFill="1" applyBorder="1" applyAlignment="1">
      <x:alignment vertical="top" wrapText="1"/>
    </x:xf>
    <x:xf numFmtId="202" fontId="20" fillId="228" borderId="0" xfId="0" applyNumberFormat="1" applyFont="1" applyFill="1" applyBorder="1" applyAlignment="1">
      <x:alignment vertical="top" wrapText="1"/>
    </x:xf>
    <x:xf numFmtId="202" fontId="20" fillId="228" borderId="0" xfId="0" applyNumberFormat="1" applyFont="1" applyFill="1" applyBorder="1" applyAlignment="1">
      <x:alignment vertical="center" wrapText="1"/>
    </x:xf>
    <x:xf numFmtId="203" fontId="58" fillId="229" borderId="0" xfId="0" applyNumberFormat="1" applyFont="1" applyFill="1" applyBorder="1" applyAlignment="1">
      <x:alignment vertical="top" wrapText="1"/>
    </x:xf>
    <x:xf numFmtId="202" fontId="58" fillId="229" borderId="0" xfId="0" applyNumberFormat="1" applyFont="1" applyFill="1" applyBorder="1" applyAlignment="1">
      <x:alignment vertical="top" wrapText="1"/>
    </x:xf>
    <x:xf numFmtId="203" fontId="58" fillId="231" borderId="0" xfId="0" applyNumberFormat="1" applyFont="1" applyFill="1" applyBorder="1" applyAlignment="1">
      <x:alignment vertical="top" wrapText="1"/>
    </x:xf>
    <x:xf numFmtId="202" fontId="58" fillId="231" borderId="0" xfId="0" applyNumberFormat="1" applyFont="1" applyFill="1" applyBorder="1" applyAlignment="1">
      <x:alignment vertical="top" wrapText="1"/>
    </x:xf>
    <x:xf numFmtId="0" fontId="59" fillId="229" borderId="0" xfId="0" applyNumberFormat="1" applyFont="1" applyFill="1" applyBorder="1" applyAlignment="1">
      <x:alignment vertical="top" wrapText="1"/>
    </x:xf>
    <x:xf numFmtId="0" fontId="59" fillId="231" borderId="0" xfId="0" applyNumberFormat="1" applyFont="1" applyFill="1" applyBorder="1" applyAlignment="1">
      <x:alignment vertical="top" wrapText="1"/>
    </x:xf>
    <x:xf numFmtId="0" fontId="58" fillId="238" borderId="0" xfId="0" applyNumberFormat="1" applyFont="1" applyFill="1" applyBorder="1" applyAlignment="1">
      <x:alignment vertical="top" wrapText="1"/>
    </x:xf>
    <x:xf numFmtId="0" fontId="58" fillId="236" borderId="0" xfId="0" applyNumberFormat="1" applyFont="1" applyFill="1" applyBorder="1" applyAlignment="1">
      <x:alignment vertical="top" wrapText="1"/>
    </x:xf>
    <x:xf numFmtId="0" fontId="0" fillId="237" borderId="0" xfId="0" applyNumberFormat="1" applyFont="1" applyFill="1" applyBorder="1"/>
    <x:xf numFmtId="0" fontId="27" fillId="237" borderId="0" xfId="0" applyNumberFormat="1" applyFont="1" applyFill="1" applyBorder="1"/>
    <x:xf numFmtId="0" fontId="27" fillId="237" borderId="0" xfId="0" applyNumberFormat="1" applyFont="1" applyFill="1" applyBorder="1" applyAlignment="1">
      <x:alignment wrapText="1"/>
    </x:xf>
    <x:xf numFmtId="0" fontId="27" fillId="228" borderId="0" xfId="0" applyNumberFormat="1" applyFont="1" applyFill="1" applyBorder="1" applyAlignment="1">
      <x:alignment vertical="center" wrapText="1"/>
    </x:xf>
    <x:xf numFmtId="0" fontId="29" fillId="228" borderId="0" xfId="0" applyNumberFormat="1" applyFont="1" applyFill="1" applyBorder="1" applyAlignment="1">
      <x:alignment vertical="center" wrapText="1"/>
    </x:xf>
    <x:xf numFmtId="0" fontId="27" fillId="229" borderId="0" xfId="0" applyNumberFormat="1" applyFont="1" applyFill="1" applyBorder="1" applyAlignment="1">
      <x:alignment vertical="top" wrapText="1"/>
    </x:xf>
    <x:xf numFmtId="0" fontId="20" fillId="237" borderId="0" xfId="0" applyNumberFormat="1" applyFont="1" applyFill="1" applyBorder="1" applyAlignment="1">
      <x:alignment vertical="center" wrapText="1"/>
    </x:xf>
    <x:xf numFmtId="0" fontId="25" fillId="237" borderId="0" xfId="0" applyNumberFormat="1" applyFont="1" applyFill="1" applyBorder="1" applyAlignment="1">
      <x:alignment vertical="top" wrapText="1"/>
    </x:xf>
    <x:xf numFmtId="0" fontId="27" fillId="237" borderId="0" xfId="0" applyNumberFormat="1" applyFont="1" applyFill="1" applyBorder="1" applyAlignment="1">
      <x:alignment vertical="top" wrapText="1"/>
    </x:xf>
    <x:xf numFmtId="0" fontId="30" fillId="229" borderId="0" xfId="0" applyNumberFormat="1" applyFont="1" applyFill="1" applyBorder="1" applyAlignment="1">
      <x:alignment vertical="top" wrapText="1"/>
    </x:xf>
    <x:xf numFmtId="0" fontId="26" fillId="229" borderId="0" xfId="0" applyNumberFormat="1" applyFont="1" applyFill="1" applyBorder="1" applyAlignment="1">
      <x:alignment vertical="center" wrapText="1"/>
    </x:xf>
    <x:xf numFmtId="0" fontId="27" fillId="239" borderId="0" xfId="0" applyNumberFormat="1" applyFont="1" applyFill="1" applyBorder="1" applyAlignment="1">
      <x:alignment vertical="top" wrapText="1"/>
    </x:xf>
    <x:xf numFmtId="0" fontId="26" fillId="239" borderId="0" xfId="0" applyNumberFormat="1" applyFont="1" applyFill="1" applyBorder="1" applyAlignment="1">
      <x:alignment vertical="top" wrapText="1"/>
    </x:xf>
    <x:xf numFmtId="0" fontId="26" fillId="239" borderId="0" xfId="0" applyNumberFormat="1" applyFont="1" applyFill="1" applyBorder="1" applyAlignment="1">
      <x:alignment vertical="center" wrapText="1"/>
    </x:xf>
    <x:xf numFmtId="0" fontId="27" fillId="228" borderId="0" xfId="0" applyNumberFormat="1" applyFont="1" applyFill="1" applyBorder="1" applyAlignment="1">
      <x:alignment vertical="top" wrapText="1"/>
    </x:xf>
    <x:xf numFmtId="0" fontId="20" fillId="240" borderId="1" xfId="0" applyNumberFormat="1" applyFont="1" applyFill="1" applyBorder="1" applyAlignment="1">
      <x:alignment horizontal="left" vertical="center" wrapText="1"/>
    </x:xf>
    <x:xf numFmtId="165" fontId="34" fillId="240" borderId="1" xfId="0" applyNumberFormat="1" applyFont="1" applyFill="1" applyBorder="1" applyAlignment="1">
      <x:alignment horizontal="left" vertical="center" wrapText="1"/>
    </x:xf>
    <x:xf numFmtId="166" fontId="34" fillId="240" borderId="1" xfId="0" applyNumberFormat="1" applyFont="1" applyFill="1" applyBorder="1" applyAlignment="1">
      <x:alignment horizontal="left" vertical="center" wrapText="1"/>
    </x:xf>
    <x:xf numFmtId="0" fontId="34" fillId="240" borderId="1" xfId="0" applyNumberFormat="1" applyFont="1" applyFill="1" applyBorder="1" applyAlignment="1">
      <x:alignment horizontal="left" vertical="center" wrapText="1"/>
    </x:xf>
    <x:xf numFmtId="0" fontId="34" fillId="240" borderId="0" xfId="0" applyNumberFormat="1" applyFont="1" applyFill="1" applyBorder="1" applyAlignment="1">
      <x:alignment horizontal="left" vertical="center" wrapText="1"/>
    </x:xf>
    <x:xf numFmtId="167" fontId="34" fillId="240" borderId="1" xfId="0" applyNumberFormat="1" applyFont="1" applyFill="1" applyBorder="1" applyAlignment="1">
      <x:alignment horizontal="left" vertical="center" wrapText="1"/>
    </x:xf>
    <x:xf numFmtId="168" fontId="34" fillId="240" borderId="1" xfId="0" applyNumberFormat="1" applyFont="1" applyFill="1" applyBorder="1" applyAlignment="1">
      <x:alignment horizontal="left" vertical="center" wrapText="1"/>
    </x:xf>
    <x:xf numFmtId="170" fontId="34" fillId="240" borderId="1" xfId="0" applyNumberFormat="1" applyFont="1" applyFill="1" applyBorder="1" applyAlignment="1">
      <x:alignment horizontal="left" vertical="center" wrapText="1"/>
    </x:xf>
    <x:xf numFmtId="0" fontId="35" fillId="240" borderId="6" xfId="0" applyNumberFormat="1" applyFont="1" applyFill="1" applyBorder="1" applyAlignment="1">
      <x:alignment horizontal="left" vertical="center" wrapText="1"/>
    </x:xf>
    <x:xf numFmtId="0" fontId="35" fillId="240" borderId="7" xfId="0" applyNumberFormat="1" applyFont="1" applyFill="1" applyBorder="1" applyAlignment="1">
      <x:alignment horizontal="left" vertical="center" wrapText="1"/>
    </x:xf>
    <x:xf numFmtId="0" fontId="35" fillId="240" borderId="8" xfId="0" applyNumberFormat="1" applyFont="1" applyFill="1" applyBorder="1" applyAlignment="1">
      <x:alignment horizontal="left" vertical="center" wrapText="1"/>
    </x:xf>
    <x:xf numFmtId="0" fontId="35" fillId="240" borderId="9" xfId="0" applyNumberFormat="1" applyFont="1" applyFill="1" applyBorder="1" applyAlignment="1">
      <x:alignment horizontal="left" vertical="center" wrapText="1"/>
    </x:xf>
    <x:xf numFmtId="0" fontId="35" fillId="240" borderId="0" xfId="0" applyNumberFormat="1" applyFont="1" applyFill="1" applyBorder="1" applyAlignment="1">
      <x:alignment horizontal="left" vertical="center" wrapText="1"/>
    </x:xf>
    <x:xf numFmtId="0" fontId="35" fillId="240" borderId="10" xfId="0" applyNumberFormat="1" applyFont="1" applyFill="1" applyBorder="1" applyAlignment="1">
      <x:alignment horizontal="left" vertical="center" wrapText="1"/>
    </x:xf>
    <x:xf numFmtId="0" fontId="35" fillId="240" borderId="11" xfId="0" applyNumberFormat="1" applyFont="1" applyFill="1" applyBorder="1" applyAlignment="1">
      <x:alignment horizontal="left" vertical="center" wrapText="1"/>
    </x:xf>
    <x:xf numFmtId="0" fontId="35" fillId="240" borderId="12" xfId="0" applyNumberFormat="1" applyFont="1" applyFill="1" applyBorder="1" applyAlignment="1">
      <x:alignment horizontal="left" vertical="center" wrapText="1"/>
    </x:xf>
    <x:xf numFmtId="0" fontId="35" fillId="240" borderId="13" xfId="0" applyNumberFormat="1" applyFont="1" applyFill="1" applyBorder="1" applyAlignment="1">
      <x:alignment horizontal="left" vertical="center" wrapText="1"/>
    </x:xf>
    <x:xf numFmtId="0" fontId="36" fillId="228" borderId="9" xfId="0" applyNumberFormat="1" applyFont="1" applyFill="1" applyBorder="1" applyAlignment="1">
      <x:alignment horizontal="left" vertical="center" wrapText="1"/>
    </x:xf>
    <x:xf numFmtId="0" fontId="36" fillId="228" borderId="0" xfId="0" applyNumberFormat="1" applyFont="1" applyFill="1" applyBorder="1" applyAlignment="1">
      <x:alignment horizontal="left" vertical="center" wrapText="1"/>
    </x:xf>
    <x:xf numFmtId="0" fontId="36" fillId="228" borderId="10" xfId="0" applyNumberFormat="1" applyFont="1" applyFill="1" applyBorder="1" applyAlignment="1">
      <x:alignment horizontal="left" vertical="center" wrapText="1"/>
    </x:xf>
    <x:xf numFmtId="0" fontId="36" fillId="228" borderId="11" xfId="0" applyNumberFormat="1" applyFont="1" applyFill="1" applyBorder="1" applyAlignment="1">
      <x:alignment horizontal="left" vertical="center" wrapText="1"/>
    </x:xf>
    <x:xf numFmtId="0" fontId="36" fillId="228" borderId="12" xfId="0" applyNumberFormat="1" applyFont="1" applyFill="1" applyBorder="1" applyAlignment="1">
      <x:alignment horizontal="left" vertical="center" wrapText="1"/>
    </x:xf>
    <x:xf numFmtId="0" fontId="36" fillId="228" borderId="13" xfId="0" applyNumberFormat="1" applyFont="1" applyFill="1" applyBorder="1" applyAlignment="1">
      <x:alignment horizontal="left" vertical="center" wrapText="1"/>
    </x:xf>
    <x:xf numFmtId="0" fontId="52" fillId="239" borderId="0" xfId="0" applyNumberFormat="1" applyFont="1" applyFill="1" applyBorder="1" applyAlignment="1">
      <x:alignment vertical="center" wrapText="1"/>
    </x:xf>
    <x:xf numFmtId="0" fontId="34" fillId="239" borderId="0" xfId="0" applyNumberFormat="1" applyFont="1" applyFill="1" applyBorder="1" applyAlignment="1">
      <x:alignment vertical="center" wrapText="1"/>
    </x:xf>
    <x:xf numFmtId="0" fontId="29" fillId="239" borderId="0" xfId="0" applyNumberFormat="1" applyFont="1" applyFill="1" applyBorder="1" applyAlignment="1">
      <x:alignment vertical="center" wrapText="1"/>
    </x:xf>
    <x:xf numFmtId="0" fontId="20" fillId="239" borderId="0" xfId="0" applyNumberFormat="1" applyFont="1" applyFill="1" applyBorder="1" applyAlignment="1">
      <x:alignment vertical="center" wrapText="1"/>
    </x:xf>
    <x:xf numFmtId="0" fontId="53" fillId="239" borderId="0" xfId="0" applyNumberFormat="1" applyFont="1" applyFill="1" applyBorder="1" applyAlignment="1">
      <x:alignment horizontal="center" vertical="center" wrapText="1"/>
    </x:xf>
    <x:xf numFmtId="0" fontId="51" fillId="239" borderId="0" xfId="0" applyNumberFormat="1" applyFont="1" applyFill="1" applyBorder="1" applyAlignment="1">
      <x:alignment vertical="center" wrapText="1"/>
    </x:xf>
    <x:xf numFmtId="0" fontId="35" fillId="239" borderId="0" xfId="0" applyNumberFormat="1" applyFont="1" applyFill="1" applyBorder="1" applyAlignment="1">
      <x:alignment vertical="center" wrapText="1"/>
    </x:xf>
    <x:xf numFmtId="0" fontId="29" fillId="239" borderId="0" xfId="0" applyNumberFormat="1" applyFont="1" applyFill="1" applyBorder="1" applyAlignment="1">
      <x:alignment horizontal="center" vertical="center" wrapText="1"/>
    </x:xf>
    <x:xf numFmtId="0" fontId="52" fillId="228" borderId="0" xfId="0" applyNumberFormat="1" applyFont="1" applyFill="1" applyBorder="1" applyAlignment="1">
      <x:alignment vertical="center" wrapText="1"/>
    </x:xf>
    <x:xf numFmtId="0" fontId="29" fillId="240" borderId="0" xfId="0" applyNumberFormat="1" applyFont="1" applyFill="1" applyBorder="1" applyAlignment="1">
      <x:alignment vertical="center" wrapText="1"/>
    </x:xf>
    <x:xf numFmtId="0" fontId="29" fillId="240" borderId="0" xfId="0" applyNumberFormat="1" applyFont="1" applyFill="1" applyBorder="1" applyAlignment="1">
      <x:alignment horizontal="center" vertical="center" wrapText="1"/>
    </x:xf>
    <x:xf numFmtId="0" fontId="53" fillId="240" borderId="0" xfId="0" applyNumberFormat="1" applyFont="1" applyFill="1" applyBorder="1" applyAlignment="1">
      <x:alignment horizontal="center" vertical="center" wrapText="1"/>
    </x:xf>
    <x:xf numFmtId="0" fontId="29" fillId="228" borderId="0" xfId="0" applyNumberFormat="1" applyFont="1" applyFill="1" applyBorder="1" applyAlignment="1">
      <x:alignment horizontal="center" vertical="center" wrapText="1"/>
    </x:xf>
    <x:xf numFmtId="0" fontId="53" fillId="228" borderId="0" xfId="0" applyNumberFormat="1" applyFont="1" applyFill="1" applyBorder="1" applyAlignment="1">
      <x:alignment horizontal="center" vertical="center" wrapText="1"/>
    </x:xf>
    <x:xf numFmtId="0" fontId="35" fillId="228" borderId="0" xfId="0" applyNumberFormat="1" applyFont="1" applyFill="1" applyBorder="1" applyAlignment="1">
      <x:alignment vertical="center" wrapText="1"/>
    </x:xf>
    <x:xf numFmtId="0" fontId="25" fillId="237" borderId="0" xfId="0" applyNumberFormat="1" applyFont="1" applyFill="1" applyBorder="1" applyAlignment="1">
      <x:alignment wrapText="1"/>
    </x:xf>
    <x:xf numFmtId="203" fontId="25" fillId="0" borderId="0" xfId="0" applyNumberFormat="1" applyFont="1" applyFill="1" applyBorder="1" applyAlignment="1">
      <x:alignment wrapText="1"/>
    </x:xf>
    <x:xf numFmtId="0" fontId="0" fillId="239" borderId="0" xfId="0" applyNumberFormat="1" applyFont="1" applyFill="1" applyBorder="1"/>
    <x:xf numFmtId="0" fontId="51" fillId="239" borderId="0" xfId="0" applyNumberFormat="1" applyFont="1" applyFill="1" applyBorder="1"/>
    <x:xf numFmtId="0" fontId="51" fillId="239" borderId="0" xfId="0" applyNumberFormat="1" applyFont="1" applyFill="1" applyBorder="1" applyAlignment="1">
      <x:alignment wrapText="1"/>
    </x:xf>
    <x:xf numFmtId="0" fontId="51" fillId="228" borderId="0" xfId="0" applyNumberFormat="1" applyFont="1" applyFill="1" applyBorder="1" applyAlignment="1">
      <x:alignment vertical="center" wrapText="1"/>
    </x:xf>
    <x:xf numFmtId="0" fontId="51" fillId="240" borderId="0" xfId="0" applyNumberFormat="1" applyFont="1" applyFill="1" applyBorder="1" applyAlignment="1">
      <x:alignment vertical="center" wrapText="1"/>
    </x:xf>
    <x:xf numFmtId="0" fontId="23" fillId="240" borderId="0" xfId="0" applyNumberFormat="1" applyFont="1" applyFill="1" applyBorder="1" applyAlignment="1">
      <x:alignment vertical="center" wrapText="1"/>
    </x:xf>
    <x:xf numFmtId="0" fontId="23" fillId="240" borderId="0" xfId="0" applyNumberFormat="1" applyFont="1" applyFill="1" applyBorder="1" applyAlignment="1">
      <x:alignment horizontal="center" vertical="center" wrapText="1"/>
    </x:xf>
    <x:xf numFmtId="0" fontId="34" fillId="240" borderId="0" xfId="0" applyNumberFormat="1" applyFont="1" applyFill="1" applyBorder="1" applyAlignment="1">
      <x:alignment vertical="center" wrapText="1"/>
    </x:xf>
    <x:xf numFmtId="0" fontId="23" fillId="228" borderId="0" xfId="0" applyNumberFormat="1" applyFont="1" applyFill="1" applyBorder="1" applyAlignment="1">
      <x:alignment vertical="center" wrapText="1"/>
    </x:xf>
    <x:xf numFmtId="0" fontId="23" fillId="228" borderId="0" xfId="0" applyNumberFormat="1" applyFont="1" applyFill="1" applyBorder="1" applyAlignment="1">
      <x:alignment horizontal="center" vertical="center" wrapText="1"/>
    </x:xf>
    <x:xf numFmtId="0" fontId="34" fillId="228" borderId="0" xfId="0" applyNumberFormat="1" applyFont="1" applyFill="1" applyBorder="1" applyAlignment="1">
      <x:alignment vertical="center" wrapText="1"/>
    </x:xf>
    <x:xf numFmtId="0" fontId="60" fillId="16" borderId="0" xfId="0" applyNumberFormat="1" applyFont="1" applyFill="1" applyBorder="1" applyAlignment="1">
      <x:alignment vertical="center" wrapText="1"/>
    </x:xf>
    <x:xf numFmtId="0" fontId="60" fillId="6" borderId="0" xfId="0" applyNumberFormat="1" applyFont="1" applyFill="1" applyBorder="1" applyAlignment="1">
      <x:alignment vertical="top" wrapText="1"/>
    </x:xf>
    <x:xf numFmtId="0" fontId="60" fillId="17" borderId="0" xfId="0" applyNumberFormat="1" applyFont="1" applyFill="1" applyBorder="1" applyAlignment="1">
      <x:alignment vertical="top" wrapText="1"/>
    </x:xf>
    <x:xf numFmtId="0" fontId="60" fillId="16" borderId="0" xfId="0" applyNumberFormat="1" applyFont="1" applyFill="1" applyBorder="1" applyAlignment="1">
      <x:alignment vertical="top" wrapText="1"/>
    </x:xf>
    <x:xf numFmtId="0" fontId="60" fillId="241" borderId="0" xfId="0" applyNumberFormat="1" applyFont="1" applyFill="1" applyBorder="1" applyAlignment="1">
      <x:alignment vertical="top" wrapText="1"/>
    </x:xf>
    <x:xf numFmtId="0" fontId="20" fillId="241" borderId="0" xfId="0" applyNumberFormat="1" applyFont="1" applyFill="1" applyBorder="1" applyAlignment="1">
      <x:alignment vertical="top" wrapText="1"/>
    </x:xf>
    <x:xf numFmtId="0" fontId="20" fillId="241" borderId="0" xfId="0" applyNumberFormat="1" applyFont="1" applyFill="1" applyBorder="1" applyAlignment="1">
      <x:alignment vertical="center" wrapText="1"/>
    </x:xf>
    <x:xf numFmtId="0" fontId="25" fillId="242" borderId="0" xfId="0" applyNumberFormat="1" applyFont="1" applyFill="1" applyBorder="1" applyAlignment="1">
      <x:alignment vertical="top" wrapText="1"/>
    </x:xf>
    <x:xf numFmtId="201" fontId="25" fillId="242" borderId="0" xfId="0" applyNumberFormat="1" applyFont="1" applyFill="1" applyBorder="1" applyAlignment="1">
      <x:alignment vertical="top" wrapText="1"/>
    </x:xf>
    <x:xf numFmtId="202" fontId="25" fillId="242" borderId="0" xfId="0" applyNumberFormat="1" applyFont="1" applyFill="1" applyBorder="1" applyAlignment="1">
      <x:alignment vertical="top" wrapText="1"/>
    </x:xf>
    <x:xf numFmtId="0" fontId="28" fillId="242" borderId="0" xfId="0" applyNumberFormat="1" applyFont="1" applyFill="1" applyBorder="1" applyAlignment="1">
      <x:alignment vertical="top" wrapText="1"/>
    </x:xf>
    <x:xf numFmtId="0" fontId="60" fillId="242" borderId="0" xfId="0" applyNumberFormat="1" applyFont="1" applyFill="1" applyBorder="1" applyAlignment="1">
      <x:alignment vertical="top" wrapText="1"/>
    </x:xf>
    <x:xf numFmtId="0" fontId="25" fillId="243" borderId="0" xfId="0" applyNumberFormat="1" applyFont="1" applyFill="1" applyBorder="1" applyAlignment="1">
      <x:alignment vertical="top" wrapText="1"/>
    </x:xf>
    <x:xf numFmtId="0" fontId="25" fillId="244" borderId="0" xfId="0" applyNumberFormat="1" applyFont="1" applyFill="1" applyBorder="1" applyAlignment="1">
      <x:alignment vertical="top" wrapText="1"/>
    </x:xf>
    <x:xf numFmtId="201" fontId="25" fillId="244" borderId="0" xfId="0" applyNumberFormat="1" applyFont="1" applyFill="1" applyBorder="1" applyAlignment="1">
      <x:alignment vertical="top" wrapText="1"/>
    </x:xf>
    <x:xf numFmtId="202" fontId="25" fillId="244" borderId="0" xfId="0" applyNumberFormat="1" applyFont="1" applyFill="1" applyBorder="1" applyAlignment="1">
      <x:alignment vertical="top" wrapText="1"/>
    </x:xf>
    <x:xf numFmtId="0" fontId="28" fillId="244" borderId="0" xfId="0" applyNumberFormat="1" applyFont="1" applyFill="1" applyBorder="1" applyAlignment="1">
      <x:alignment vertical="top" wrapText="1"/>
    </x:xf>
    <x:xf numFmtId="0" fontId="60" fillId="244" borderId="0" xfId="0" applyNumberFormat="1" applyFont="1" applyFill="1" applyBorder="1" applyAlignment="1">
      <x:alignment vertical="top" wrapText="1"/>
    </x:xf>
    <x:xf numFmtId="0" fontId="25" fillId="245" borderId="0" xfId="0" applyNumberFormat="1" applyFont="1" applyFill="1" applyBorder="1" applyAlignment="1">
      <x:alignment vertical="top" wrapText="1"/>
    </x:xf>
    <x:xf numFmtId="0" fontId="25" fillId="246" borderId="0" xfId="0" applyNumberFormat="1" applyFont="1" applyFill="1" applyBorder="1" applyAlignment="1">
      <x:alignment vertical="top" wrapText="1"/>
    </x:xf>
    <x:xf numFmtId="0" fontId="25" fillId="247" borderId="0" xfId="0" applyNumberFormat="1" applyFont="1" applyFill="1" applyBorder="1" applyAlignment="1">
      <x:alignment vertical="top" wrapText="1"/>
    </x:xf>
    <x:xf numFmtId="0" fontId="25" fillId="248" borderId="0" xfId="0" applyNumberFormat="1" applyFont="1" applyFill="1" applyBorder="1" applyAlignment="1">
      <x:alignment vertical="top" wrapText="1"/>
    </x:xf>
    <x:xf numFmtId="0" fontId="25" fillId="249" borderId="0" xfId="0" applyNumberFormat="1" applyFont="1" applyFill="1" applyBorder="1" applyAlignment="1">
      <x:alignment vertical="top" wrapText="1"/>
    </x:xf>
    <x:xf numFmtId="202" fontId="20" fillId="242" borderId="0" xfId="0" applyNumberFormat="1" applyFont="1" applyFill="1" applyBorder="1" applyAlignment="1">
      <x:alignment vertical="center" wrapText="1"/>
    </x:xf>
    <x:xf numFmtId="0" fontId="27" fillId="250" borderId="0" xfId="0" applyNumberFormat="1" applyFont="1" applyFill="1" applyBorder="1" applyAlignment="1">
      <x:alignment vertical="center" wrapText="1"/>
    </x:xf>
    <x:xf numFmtId="0" fontId="20" fillId="242" borderId="0" xfId="0" applyNumberFormat="1" applyFont="1" applyFill="1" applyBorder="1" applyAlignment="1">
      <x:alignment vertical="center" wrapText="1"/>
    </x:xf>
    <x:xf numFmtId="0" fontId="27" fillId="242" borderId="0" xfId="0" applyNumberFormat="1" applyFont="1" applyFill="1" applyBorder="1" applyAlignment="1">
      <x:alignment vertical="center" wrapText="1"/>
    </x:xf>
    <x:xf numFmtId="0" fontId="0" fillId="242" borderId="0" xfId="0" applyNumberFormat="1" applyFont="1" applyFill="1" applyBorder="1"/>
    <x:xf numFmtId="0" fontId="30" fillId="242" borderId="0" xfId="0" applyNumberFormat="1" applyFont="1" applyFill="1" applyBorder="1" applyAlignment="1">
      <x:alignment vertical="center" wrapText="1"/>
    </x:xf>
    <x:xf numFmtId="202" fontId="60" fillId="6" borderId="0" xfId="0" applyNumberFormat="1" applyFont="1" applyFill="1" applyBorder="1" applyAlignment="1">
      <x:alignment vertical="center" wrapText="1"/>
    </x:xf>
    <x:xf numFmtId="203" fontId="60" fillId="6" borderId="0" xfId="0" applyNumberFormat="1" applyFont="1" applyFill="1" applyBorder="1" applyAlignment="1">
      <x:alignment vertical="top" wrapText="1"/>
    </x:xf>
    <x:xf numFmtId="202" fontId="60" fillId="6" borderId="0" xfId="0" applyNumberFormat="1" applyFont="1" applyFill="1" applyBorder="1" applyAlignment="1">
      <x:alignment vertical="top" wrapText="1"/>
    </x:xf>
    <x:xf numFmtId="0" fontId="60" fillId="30" borderId="0" xfId="0" applyNumberFormat="1" applyFont="1" applyFill="1" applyBorder="1" applyAlignment="1">
      <x:alignment vertical="top" wrapText="1"/>
    </x:xf>
    <x:xf numFmtId="0" fontId="60" fillId="18" borderId="0" xfId="0" applyNumberFormat="1" applyFont="1" applyFill="1" applyBorder="1" applyAlignment="1">
      <x:alignment vertical="top" wrapText="1"/>
    </x:xf>
    <x:xf numFmtId="203" fontId="60" fillId="17" borderId="0" xfId="0" applyNumberFormat="1" applyFont="1" applyFill="1" applyBorder="1" applyAlignment="1">
      <x:alignment vertical="top" wrapText="1"/>
    </x:xf>
    <x:xf numFmtId="202" fontId="60" fillId="241" borderId="0" xfId="0" applyNumberFormat="1" applyFont="1" applyFill="1" applyBorder="1" applyAlignment="1">
      <x:alignment vertical="top" wrapText="1"/>
    </x:xf>
    <x:xf numFmtId="202" fontId="20" fillId="241" borderId="0" xfId="0" applyNumberFormat="1" applyFont="1" applyFill="1" applyBorder="1" applyAlignment="1">
      <x:alignment vertical="top" wrapText="1"/>
    </x:xf>
    <x:xf numFmtId="202" fontId="20" fillId="241" borderId="0" xfId="0" applyNumberFormat="1" applyFont="1" applyFill="1" applyBorder="1" applyAlignment="1">
      <x:alignment vertical="center" wrapText="1"/>
    </x:xf>
    <x:xf numFmtId="203" fontId="60" fillId="242" borderId="0" xfId="0" applyNumberFormat="1" applyFont="1" applyFill="1" applyBorder="1" applyAlignment="1">
      <x:alignment vertical="top" wrapText="1"/>
    </x:xf>
    <x:xf numFmtId="202" fontId="60" fillId="242" borderId="0" xfId="0" applyNumberFormat="1" applyFont="1" applyFill="1" applyBorder="1" applyAlignment="1">
      <x:alignment vertical="top" wrapText="1"/>
    </x:xf>
    <x:xf numFmtId="203" fontId="60" fillId="244" borderId="0" xfId="0" applyNumberFormat="1" applyFont="1" applyFill="1" applyBorder="1" applyAlignment="1">
      <x:alignment vertical="top" wrapText="1"/>
    </x:xf>
    <x:xf numFmtId="202" fontId="60" fillId="244" borderId="0" xfId="0" applyNumberFormat="1" applyFont="1" applyFill="1" applyBorder="1" applyAlignment="1">
      <x:alignment vertical="top" wrapText="1"/>
    </x:xf>
    <x:xf numFmtId="0" fontId="61" fillId="242" borderId="0" xfId="0" applyNumberFormat="1" applyFont="1" applyFill="1" applyBorder="1" applyAlignment="1">
      <x:alignment vertical="top" wrapText="1"/>
    </x:xf>
    <x:xf numFmtId="0" fontId="61" fillId="244" borderId="0" xfId="0" applyNumberFormat="1" applyFont="1" applyFill="1" applyBorder="1" applyAlignment="1">
      <x:alignment vertical="top" wrapText="1"/>
    </x:xf>
    <x:xf numFmtId="0" fontId="60" fillId="251" borderId="0" xfId="0" applyNumberFormat="1" applyFont="1" applyFill="1" applyBorder="1" applyAlignment="1">
      <x:alignment vertical="top" wrapText="1"/>
    </x:xf>
    <x:xf numFmtId="0" fontId="60" fillId="249" borderId="0" xfId="0" applyNumberFormat="1" applyFont="1" applyFill="1" applyBorder="1" applyAlignment="1">
      <x:alignment vertical="top" wrapText="1"/>
    </x:xf>
    <x:xf numFmtId="0" fontId="26" fillId="242" borderId="0" xfId="0" applyNumberFormat="1" applyFont="1" applyFill="1" applyBorder="1" applyAlignment="1">
      <x:alignment vertical="center" wrapText="1"/>
    </x:xf>
    <x:xf numFmtId="0" fontId="27" fillId="242" borderId="0" xfId="0" applyNumberFormat="1" applyFont="1" applyFill="1" applyBorder="1" applyAlignment="1">
      <x:alignment vertical="top" wrapText="1"/>
    </x:xf>
    <x:xf numFmtId="0" fontId="27" fillId="252" borderId="0" xfId="0" applyNumberFormat="1" applyFont="1" applyFill="1" applyBorder="1" applyAlignment="1">
      <x:alignment vertical="top" wrapText="1"/>
    </x:xf>
    <x:xf numFmtId="0" fontId="26" fillId="252" borderId="0" xfId="0" applyNumberFormat="1" applyFont="1" applyFill="1" applyBorder="1" applyAlignment="1">
      <x:alignment vertical="top" wrapText="1"/>
    </x:xf>
    <x:xf numFmtId="0" fontId="26" fillId="252" borderId="0" xfId="0" applyNumberFormat="1" applyFont="1" applyFill="1" applyBorder="1" applyAlignment="1">
      <x:alignment vertical="center" wrapText="1"/>
    </x:xf>
    <x:xf numFmtId="0" fontId="27" fillId="250" borderId="0" xfId="0" applyNumberFormat="1" applyFont="1" applyFill="1" applyBorder="1" applyAlignment="1">
      <x:alignment vertical="top" wrapText="1"/>
    </x:xf>
    <x:xf numFmtId="0" fontId="27" fillId="241" borderId="0" xfId="0" applyNumberFormat="1" applyFont="1" applyFill="1" applyBorder="1" applyAlignment="1">
      <x:alignment vertical="top" wrapText="1"/>
    </x:xf>
    <x:xf numFmtId="0" fontId="20" fillId="253" borderId="1" xfId="0" applyNumberFormat="1" applyFont="1" applyFill="1" applyBorder="1" applyAlignment="1">
      <x:alignment horizontal="left" vertical="center" wrapText="1"/>
    </x:xf>
    <x:xf numFmtId="165" fontId="34" fillId="253" borderId="1" xfId="0" applyNumberFormat="1" applyFont="1" applyFill="1" applyBorder="1" applyAlignment="1">
      <x:alignment horizontal="left" vertical="center" wrapText="1"/>
    </x:xf>
    <x:xf numFmtId="166" fontId="34" fillId="253" borderId="1" xfId="0" applyNumberFormat="1" applyFont="1" applyFill="1" applyBorder="1" applyAlignment="1">
      <x:alignment horizontal="left" vertical="center" wrapText="1"/>
    </x:xf>
    <x:xf numFmtId="0" fontId="34" fillId="253" borderId="1" xfId="0" applyNumberFormat="1" applyFont="1" applyFill="1" applyBorder="1" applyAlignment="1">
      <x:alignment horizontal="left" vertical="center" wrapText="1"/>
    </x:xf>
    <x:xf numFmtId="0" fontId="34" fillId="253" borderId="0" xfId="0" applyNumberFormat="1" applyFont="1" applyFill="1" applyBorder="1" applyAlignment="1">
      <x:alignment horizontal="left" vertical="center" wrapText="1"/>
    </x:xf>
    <x:xf numFmtId="167" fontId="34" fillId="253" borderId="1" xfId="0" applyNumberFormat="1" applyFont="1" applyFill="1" applyBorder="1" applyAlignment="1">
      <x:alignment horizontal="left" vertical="center" wrapText="1"/>
    </x:xf>
    <x:xf numFmtId="168" fontId="34" fillId="253" borderId="1" xfId="0" applyNumberFormat="1" applyFont="1" applyFill="1" applyBorder="1" applyAlignment="1">
      <x:alignment horizontal="left" vertical="center" wrapText="1"/>
    </x:xf>
    <x:xf numFmtId="170" fontId="34" fillId="253" borderId="1" xfId="0" applyNumberFormat="1" applyFont="1" applyFill="1" applyBorder="1" applyAlignment="1">
      <x:alignment horizontal="left" vertical="center" wrapText="1"/>
    </x:xf>
    <x:xf numFmtId="0" fontId="35" fillId="253" borderId="6" xfId="0" applyNumberFormat="1" applyFont="1" applyFill="1" applyBorder="1" applyAlignment="1">
      <x:alignment horizontal="left" vertical="center" wrapText="1"/>
    </x:xf>
    <x:xf numFmtId="0" fontId="35" fillId="253" borderId="7" xfId="0" applyNumberFormat="1" applyFont="1" applyFill="1" applyBorder="1" applyAlignment="1">
      <x:alignment horizontal="left" vertical="center" wrapText="1"/>
    </x:xf>
    <x:xf numFmtId="0" fontId="35" fillId="253" borderId="8" xfId="0" applyNumberFormat="1" applyFont="1" applyFill="1" applyBorder="1" applyAlignment="1">
      <x:alignment horizontal="left" vertical="center" wrapText="1"/>
    </x:xf>
    <x:xf numFmtId="0" fontId="35" fillId="253" borderId="9" xfId="0" applyNumberFormat="1" applyFont="1" applyFill="1" applyBorder="1" applyAlignment="1">
      <x:alignment horizontal="left" vertical="center" wrapText="1"/>
    </x:xf>
    <x:xf numFmtId="0" fontId="35" fillId="253" borderId="0" xfId="0" applyNumberFormat="1" applyFont="1" applyFill="1" applyBorder="1" applyAlignment="1">
      <x:alignment horizontal="left" vertical="center" wrapText="1"/>
    </x:xf>
    <x:xf numFmtId="0" fontId="35" fillId="253" borderId="10" xfId="0" applyNumberFormat="1" applyFont="1" applyFill="1" applyBorder="1" applyAlignment="1">
      <x:alignment horizontal="left" vertical="center" wrapText="1"/>
    </x:xf>
    <x:xf numFmtId="0" fontId="35" fillId="253" borderId="11" xfId="0" applyNumberFormat="1" applyFont="1" applyFill="1" applyBorder="1" applyAlignment="1">
      <x:alignment horizontal="left" vertical="center" wrapText="1"/>
    </x:xf>
    <x:xf numFmtId="0" fontId="35" fillId="253" borderId="12" xfId="0" applyNumberFormat="1" applyFont="1" applyFill="1" applyBorder="1" applyAlignment="1">
      <x:alignment horizontal="left" vertical="center" wrapText="1"/>
    </x:xf>
    <x:xf numFmtId="0" fontId="35" fillId="253" borderId="13" xfId="0" applyNumberFormat="1" applyFont="1" applyFill="1" applyBorder="1" applyAlignment="1">
      <x:alignment horizontal="left" vertical="center" wrapText="1"/>
    </x:xf>
    <x:xf numFmtId="0" fontId="36" fillId="241" borderId="9" xfId="0" applyNumberFormat="1" applyFont="1" applyFill="1" applyBorder="1" applyAlignment="1">
      <x:alignment horizontal="left" vertical="center" wrapText="1"/>
    </x:xf>
    <x:xf numFmtId="0" fontId="36" fillId="241" borderId="0" xfId="0" applyNumberFormat="1" applyFont="1" applyFill="1" applyBorder="1" applyAlignment="1">
      <x:alignment horizontal="left" vertical="center" wrapText="1"/>
    </x:xf>
    <x:xf numFmtId="0" fontId="36" fillId="241" borderId="10" xfId="0" applyNumberFormat="1" applyFont="1" applyFill="1" applyBorder="1" applyAlignment="1">
      <x:alignment horizontal="left" vertical="center" wrapText="1"/>
    </x:xf>
    <x:xf numFmtId="0" fontId="36" fillId="241" borderId="11" xfId="0" applyNumberFormat="1" applyFont="1" applyFill="1" applyBorder="1" applyAlignment="1">
      <x:alignment horizontal="left" vertical="center" wrapText="1"/>
    </x:xf>
    <x:xf numFmtId="0" fontId="36" fillId="241" borderId="12" xfId="0" applyNumberFormat="1" applyFont="1" applyFill="1" applyBorder="1" applyAlignment="1">
      <x:alignment horizontal="left" vertical="center" wrapText="1"/>
    </x:xf>
    <x:xf numFmtId="0" fontId="36" fillId="241" borderId="13" xfId="0" applyNumberFormat="1" applyFont="1" applyFill="1" applyBorder="1" applyAlignment="1">
      <x:alignment horizontal="left" vertical="center" wrapText="1"/>
    </x:xf>
    <x:xf numFmtId="0" fontId="27" fillId="241" borderId="0" xfId="0" applyNumberFormat="1" applyFont="1" applyFill="1" applyBorder="1" applyAlignment="1">
      <x:alignment vertical="center" wrapText="1"/>
    </x:xf>
    <x:xf numFmtId="0" fontId="52" fillId="252" borderId="0" xfId="0" applyNumberFormat="1" applyFont="1" applyFill="1" applyBorder="1" applyAlignment="1">
      <x:alignment vertical="center" wrapText="1"/>
    </x:xf>
    <x:xf numFmtId="0" fontId="34" fillId="252" borderId="0" xfId="0" applyNumberFormat="1" applyFont="1" applyFill="1" applyBorder="1" applyAlignment="1">
      <x:alignment vertical="center" wrapText="1"/>
    </x:xf>
    <x:xf numFmtId="0" fontId="29" fillId="252" borderId="0" xfId="0" applyNumberFormat="1" applyFont="1" applyFill="1" applyBorder="1" applyAlignment="1">
      <x:alignment vertical="center" wrapText="1"/>
    </x:xf>
    <x:xf numFmtId="0" fontId="20" fillId="252" borderId="0" xfId="0" applyNumberFormat="1" applyFont="1" applyFill="1" applyBorder="1" applyAlignment="1">
      <x:alignment vertical="center" wrapText="1"/>
    </x:xf>
    <x:xf numFmtId="0" fontId="53" fillId="252" borderId="0" xfId="0" applyNumberFormat="1" applyFont="1" applyFill="1" applyBorder="1" applyAlignment="1">
      <x:alignment horizontal="center" vertical="center" wrapText="1"/>
    </x:xf>
    <x:xf numFmtId="0" fontId="51" fillId="252" borderId="0" xfId="0" applyNumberFormat="1" applyFont="1" applyFill="1" applyBorder="1" applyAlignment="1">
      <x:alignment vertical="center" wrapText="1"/>
    </x:xf>
    <x:xf numFmtId="0" fontId="35" fillId="252" borderId="0" xfId="0" applyNumberFormat="1" applyFont="1" applyFill="1" applyBorder="1" applyAlignment="1">
      <x:alignment vertical="center" wrapText="1"/>
    </x:xf>
    <x:xf numFmtId="0" fontId="29" fillId="252" borderId="0" xfId="0" applyNumberFormat="1" applyFont="1" applyFill="1" applyBorder="1" applyAlignment="1">
      <x:alignment horizontal="center" vertical="center" wrapText="1"/>
    </x:xf>
    <x:xf numFmtId="0" fontId="29" fillId="241" borderId="0" xfId="0" applyNumberFormat="1" applyFont="1" applyFill="1" applyBorder="1" applyAlignment="1">
      <x:alignment vertical="center" wrapText="1"/>
    </x:xf>
    <x:xf numFmtId="0" fontId="52" fillId="241" borderId="0" xfId="0" applyNumberFormat="1" applyFont="1" applyFill="1" applyBorder="1" applyAlignment="1">
      <x:alignment vertical="center" wrapText="1"/>
    </x:xf>
    <x:xf numFmtId="0" fontId="29" fillId="253" borderId="0" xfId="0" applyNumberFormat="1" applyFont="1" applyFill="1" applyBorder="1" applyAlignment="1">
      <x:alignment vertical="center" wrapText="1"/>
    </x:xf>
    <x:xf numFmtId="0" fontId="29" fillId="253" borderId="0" xfId="0" applyNumberFormat="1" applyFont="1" applyFill="1" applyBorder="1" applyAlignment="1">
      <x:alignment horizontal="center" vertical="center" wrapText="1"/>
    </x:xf>
    <x:xf numFmtId="0" fontId="53" fillId="253" borderId="0" xfId="0" applyNumberFormat="1" applyFont="1" applyFill="1" applyBorder="1" applyAlignment="1">
      <x:alignment horizontal="center" vertical="center" wrapText="1"/>
    </x:xf>
    <x:xf numFmtId="0" fontId="29" fillId="241" borderId="0" xfId="0" applyNumberFormat="1" applyFont="1" applyFill="1" applyBorder="1" applyAlignment="1">
      <x:alignment horizontal="center" vertical="center" wrapText="1"/>
    </x:xf>
    <x:xf numFmtId="0" fontId="53" fillId="241" borderId="0" xfId="0" applyNumberFormat="1" applyFont="1" applyFill="1" applyBorder="1" applyAlignment="1">
      <x:alignment horizontal="center" vertical="center" wrapText="1"/>
    </x:xf>
    <x:xf numFmtId="0" fontId="35" fillId="241" borderId="0" xfId="0" applyNumberFormat="1" applyFont="1" applyFill="1" applyBorder="1" applyAlignment="1">
      <x:alignment vertical="center" wrapText="1"/>
    </x:xf>
    <x:xf numFmtId="0" fontId="25" fillId="15" borderId="0" xfId="0" applyNumberFormat="1" applyFont="1" applyFill="1" applyBorder="1" applyAlignment="1">
      <x:alignment wrapText="1"/>
    </x:xf>
    <x:xf numFmtId="0" fontId="25" fillId="250" borderId="0" xfId="0" applyNumberFormat="1" applyFont="1" applyFill="1" applyBorder="1" applyAlignment="1">
      <x:alignment wrapText="1"/>
    </x:xf>
    <x:xf numFmtId="0" fontId="23" fillId="252" borderId="0" xfId="0" applyNumberFormat="1" applyFont="1" applyFill="1" applyBorder="1" applyAlignment="1">
      <x:alignment horizontal="center" vertical="center" wrapText="1"/>
    </x:xf>
    <x:xf numFmtId="0" fontId="23" fillId="253" borderId="0" xfId="0" applyNumberFormat="1" applyFont="1" applyFill="1" applyBorder="1" applyAlignment="1">
      <x:alignment horizontal="center" vertical="center" wrapText="1"/>
    </x:xf>
    <x:xf numFmtId="0" fontId="34" fillId="253" borderId="0" xfId="0" applyNumberFormat="1" applyFont="1" applyFill="1" applyBorder="1" applyAlignment="1">
      <x:alignment vertical="center" wrapText="1"/>
    </x:xf>
    <x:xf numFmtId="0" fontId="23" fillId="241" borderId="0" xfId="0" applyNumberFormat="1" applyFont="1" applyFill="1" applyBorder="1" applyAlignment="1">
      <x:alignment horizontal="center" vertical="center" wrapText="1"/>
    </x:xf>
    <x:xf numFmtId="0" fontId="34" fillId="241" borderId="0" xfId="0" applyNumberFormat="1" applyFont="1" applyFill="1" applyBorder="1" applyAlignment="1">
      <x:alignment vertical="center" wrapText="1"/>
    </x:xf>
    <x:xf numFmtId="0" fontId="62" fillId="16" borderId="0" xfId="0" applyNumberFormat="1" applyFont="1" applyFill="1" applyBorder="1" applyAlignment="1">
      <x:alignment vertical="center" wrapText="1"/>
    </x:xf>
    <x:xf numFmtId="0" fontId="62" fillId="6" borderId="0" xfId="0" applyNumberFormat="1" applyFont="1" applyFill="1" applyBorder="1" applyAlignment="1">
      <x:alignment vertical="top" wrapText="1"/>
    </x:xf>
    <x:xf numFmtId="0" fontId="62" fillId="17" borderId="0" xfId="0" applyNumberFormat="1" applyFont="1" applyFill="1" applyBorder="1" applyAlignment="1">
      <x:alignment vertical="top" wrapText="1"/>
    </x:xf>
    <x:xf numFmtId="0" fontId="62" fillId="16" borderId="0" xfId="0" applyNumberFormat="1" applyFont="1" applyFill="1" applyBorder="1" applyAlignment="1">
      <x:alignment vertical="top" wrapText="1"/>
    </x:xf>
    <x:xf numFmtId="0" fontId="62" fillId="254" borderId="0" xfId="0" applyNumberFormat="1" applyFont="1" applyFill="1" applyBorder="1" applyAlignment="1">
      <x:alignment vertical="top" wrapText="1"/>
    </x:xf>
    <x:xf numFmtId="0" fontId="20" fillId="254" borderId="0" xfId="0" applyNumberFormat="1" applyFont="1" applyFill="1" applyBorder="1" applyAlignment="1">
      <x:alignment vertical="top" wrapText="1"/>
    </x:xf>
    <x:xf numFmtId="0" fontId="20" fillId="254" borderId="0" xfId="0" applyNumberFormat="1" applyFont="1" applyFill="1" applyBorder="1" applyAlignment="1">
      <x:alignment vertical="center" wrapText="1"/>
    </x:xf>
    <x:xf numFmtId="0" fontId="25" fillId="255" borderId="0" xfId="0" applyNumberFormat="1" applyFont="1" applyFill="1" applyBorder="1" applyAlignment="1">
      <x:alignment vertical="top" wrapText="1"/>
    </x:xf>
    <x:xf numFmtId="201" fontId="25" fillId="255" borderId="0" xfId="0" applyNumberFormat="1" applyFont="1" applyFill="1" applyBorder="1" applyAlignment="1">
      <x:alignment vertical="top" wrapText="1"/>
    </x:xf>
    <x:xf numFmtId="202" fontId="25" fillId="255" borderId="0" xfId="0" applyNumberFormat="1" applyFont="1" applyFill="1" applyBorder="1" applyAlignment="1">
      <x:alignment vertical="top" wrapText="1"/>
    </x:xf>
    <x:xf numFmtId="0" fontId="28" fillId="255" borderId="0" xfId="0" applyNumberFormat="1" applyFont="1" applyFill="1" applyBorder="1" applyAlignment="1">
      <x:alignment vertical="top" wrapText="1"/>
    </x:xf>
    <x:xf numFmtId="0" fontId="62" fillId="255" borderId="0" xfId="0" applyNumberFormat="1" applyFont="1" applyFill="1" applyBorder="1" applyAlignment="1">
      <x:alignment vertical="top" wrapText="1"/>
    </x:xf>
    <x:xf numFmtId="0" fontId="25" fillId="256" borderId="0" xfId="0" applyNumberFormat="1" applyFont="1" applyFill="1" applyBorder="1" applyAlignment="1">
      <x:alignment vertical="top" wrapText="1"/>
    </x:xf>
    <x:xf numFmtId="0" fontId="25" fillId="257" borderId="0" xfId="0" applyNumberFormat="1" applyFont="1" applyFill="1" applyBorder="1" applyAlignment="1">
      <x:alignment vertical="top" wrapText="1"/>
    </x:xf>
    <x:xf numFmtId="201" fontId="25" fillId="257" borderId="0" xfId="0" applyNumberFormat="1" applyFont="1" applyFill="1" applyBorder="1" applyAlignment="1">
      <x:alignment vertical="top" wrapText="1"/>
    </x:xf>
    <x:xf numFmtId="202" fontId="25" fillId="257" borderId="0" xfId="0" applyNumberFormat="1" applyFont="1" applyFill="1" applyBorder="1" applyAlignment="1">
      <x:alignment vertical="top" wrapText="1"/>
    </x:xf>
    <x:xf numFmtId="0" fontId="28" fillId="257" borderId="0" xfId="0" applyNumberFormat="1" applyFont="1" applyFill="1" applyBorder="1" applyAlignment="1">
      <x:alignment vertical="top" wrapText="1"/>
    </x:xf>
    <x:xf numFmtId="0" fontId="62" fillId="257" borderId="0" xfId="0" applyNumberFormat="1" applyFont="1" applyFill="1" applyBorder="1" applyAlignment="1">
      <x:alignment vertical="top" wrapText="1"/>
    </x:xf>
    <x:xf numFmtId="0" fontId="25" fillId="258" borderId="0" xfId="0" applyNumberFormat="1" applyFont="1" applyFill="1" applyBorder="1" applyAlignment="1">
      <x:alignment vertical="top" wrapText="1"/>
    </x:xf>
    <x:xf numFmtId="0" fontId="25" fillId="259" borderId="0" xfId="0" applyNumberFormat="1" applyFont="1" applyFill="1" applyBorder="1" applyAlignment="1">
      <x:alignment vertical="top" wrapText="1"/>
    </x:xf>
    <x:xf numFmtId="0" fontId="25" fillId="260" borderId="0" xfId="0" applyNumberFormat="1" applyFont="1" applyFill="1" applyBorder="1" applyAlignment="1">
      <x:alignment vertical="top" wrapText="1"/>
    </x:xf>
    <x:xf numFmtId="0" fontId="25" fillId="261" borderId="0" xfId="0" applyNumberFormat="1" applyFont="1" applyFill="1" applyBorder="1" applyAlignment="1">
      <x:alignment vertical="top" wrapText="1"/>
    </x:xf>
    <x:xf numFmtId="0" fontId="25" fillId="262" borderId="0" xfId="0" applyNumberFormat="1" applyFont="1" applyFill="1" applyBorder="1" applyAlignment="1">
      <x:alignment vertical="top" wrapText="1"/>
    </x:xf>
    <x:xf numFmtId="202" fontId="20" fillId="255" borderId="0" xfId="0" applyNumberFormat="1" applyFont="1" applyFill="1" applyBorder="1" applyAlignment="1">
      <x:alignment vertical="center" wrapText="1"/>
    </x:xf>
    <x:xf numFmtId="0" fontId="27" fillId="263" borderId="0" xfId="0" applyNumberFormat="1" applyFont="1" applyFill="1" applyBorder="1" applyAlignment="1">
      <x:alignment vertical="center" wrapText="1"/>
    </x:xf>
    <x:xf numFmtId="0" fontId="20" fillId="255" borderId="0" xfId="0" applyNumberFormat="1" applyFont="1" applyFill="1" applyBorder="1" applyAlignment="1">
      <x:alignment vertical="center" wrapText="1"/>
    </x:xf>
    <x:xf numFmtId="0" fontId="27" fillId="255" borderId="0" xfId="0" applyNumberFormat="1" applyFont="1" applyFill="1" applyBorder="1" applyAlignment="1">
      <x:alignment vertical="center" wrapText="1"/>
    </x:xf>
    <x:xf numFmtId="0" fontId="0" fillId="255" borderId="0" xfId="0" applyNumberFormat="1" applyFont="1" applyFill="1" applyBorder="1"/>
    <x:xf numFmtId="0" fontId="30" fillId="255" borderId="0" xfId="0" applyNumberFormat="1" applyFont="1" applyFill="1" applyBorder="1" applyAlignment="1">
      <x:alignment vertical="center" wrapText="1"/>
    </x:xf>
    <x:xf numFmtId="202" fontId="62" fillId="6" borderId="0" xfId="0" applyNumberFormat="1" applyFont="1" applyFill="1" applyBorder="1" applyAlignment="1">
      <x:alignment vertical="center" wrapText="1"/>
    </x:xf>
    <x:xf numFmtId="203" fontId="62" fillId="6" borderId="0" xfId="0" applyNumberFormat="1" applyFont="1" applyFill="1" applyBorder="1" applyAlignment="1">
      <x:alignment vertical="top" wrapText="1"/>
    </x:xf>
    <x:xf numFmtId="202" fontId="62" fillId="6" borderId="0" xfId="0" applyNumberFormat="1" applyFont="1" applyFill="1" applyBorder="1" applyAlignment="1">
      <x:alignment vertical="top" wrapText="1"/>
    </x:xf>
    <x:xf numFmtId="0" fontId="62" fillId="30" borderId="0" xfId="0" applyNumberFormat="1" applyFont="1" applyFill="1" applyBorder="1" applyAlignment="1">
      <x:alignment vertical="top" wrapText="1"/>
    </x:xf>
    <x:xf numFmtId="0" fontId="62" fillId="18" borderId="0" xfId="0" applyNumberFormat="1" applyFont="1" applyFill="1" applyBorder="1" applyAlignment="1">
      <x:alignment vertical="top" wrapText="1"/>
    </x:xf>
    <x:xf numFmtId="203" fontId="62" fillId="17" borderId="0" xfId="0" applyNumberFormat="1" applyFont="1" applyFill="1" applyBorder="1" applyAlignment="1">
      <x:alignment vertical="top" wrapText="1"/>
    </x:xf>
    <x:xf numFmtId="202" fontId="62" fillId="254" borderId="0" xfId="0" applyNumberFormat="1" applyFont="1" applyFill="1" applyBorder="1" applyAlignment="1">
      <x:alignment vertical="top" wrapText="1"/>
    </x:xf>
    <x:xf numFmtId="202" fontId="20" fillId="254" borderId="0" xfId="0" applyNumberFormat="1" applyFont="1" applyFill="1" applyBorder="1" applyAlignment="1">
      <x:alignment vertical="top" wrapText="1"/>
    </x:xf>
    <x:xf numFmtId="202" fontId="20" fillId="254" borderId="0" xfId="0" applyNumberFormat="1" applyFont="1" applyFill="1" applyBorder="1" applyAlignment="1">
      <x:alignment vertical="center" wrapText="1"/>
    </x:xf>
    <x:xf numFmtId="203" fontId="62" fillId="255" borderId="0" xfId="0" applyNumberFormat="1" applyFont="1" applyFill="1" applyBorder="1" applyAlignment="1">
      <x:alignment vertical="top" wrapText="1"/>
    </x:xf>
    <x:xf numFmtId="202" fontId="62" fillId="255" borderId="0" xfId="0" applyNumberFormat="1" applyFont="1" applyFill="1" applyBorder="1" applyAlignment="1">
      <x:alignment vertical="top" wrapText="1"/>
    </x:xf>
    <x:xf numFmtId="203" fontId="62" fillId="257" borderId="0" xfId="0" applyNumberFormat="1" applyFont="1" applyFill="1" applyBorder="1" applyAlignment="1">
      <x:alignment vertical="top" wrapText="1"/>
    </x:xf>
    <x:xf numFmtId="202" fontId="62" fillId="257" borderId="0" xfId="0" applyNumberFormat="1" applyFont="1" applyFill="1" applyBorder="1" applyAlignment="1">
      <x:alignment vertical="top" wrapText="1"/>
    </x:xf>
    <x:xf numFmtId="0" fontId="63" fillId="255" borderId="0" xfId="0" applyNumberFormat="1" applyFont="1" applyFill="1" applyBorder="1" applyAlignment="1">
      <x:alignment vertical="top" wrapText="1"/>
    </x:xf>
    <x:xf numFmtId="0" fontId="63" fillId="257" borderId="0" xfId="0" applyNumberFormat="1" applyFont="1" applyFill="1" applyBorder="1" applyAlignment="1">
      <x:alignment vertical="top" wrapText="1"/>
    </x:xf>
    <x:xf numFmtId="0" fontId="62" fillId="264" borderId="0" xfId="0" applyNumberFormat="1" applyFont="1" applyFill="1" applyBorder="1" applyAlignment="1">
      <x:alignment vertical="top" wrapText="1"/>
    </x:xf>
    <x:xf numFmtId="0" fontId="62" fillId="262" borderId="0" xfId="0" applyNumberFormat="1" applyFont="1" applyFill="1" applyBorder="1" applyAlignment="1">
      <x:alignment vertical="top" wrapText="1"/>
    </x:xf>
    <x:xf numFmtId="0" fontId="26" fillId="255" borderId="0" xfId="0" applyNumberFormat="1" applyFont="1" applyFill="1" applyBorder="1" applyAlignment="1">
      <x:alignment vertical="center" wrapText="1"/>
    </x:xf>
    <x:xf numFmtId="0" fontId="27" fillId="255" borderId="0" xfId="0" applyNumberFormat="1" applyFont="1" applyFill="1" applyBorder="1" applyAlignment="1">
      <x:alignment vertical="top" wrapText="1"/>
    </x:xf>
    <x:xf numFmtId="0" fontId="27" fillId="265" borderId="0" xfId="0" applyNumberFormat="1" applyFont="1" applyFill="1" applyBorder="1" applyAlignment="1">
      <x:alignment vertical="top" wrapText="1"/>
    </x:xf>
    <x:xf numFmtId="0" fontId="26" fillId="265" borderId="0" xfId="0" applyNumberFormat="1" applyFont="1" applyFill="1" applyBorder="1" applyAlignment="1">
      <x:alignment vertical="top" wrapText="1"/>
    </x:xf>
    <x:xf numFmtId="0" fontId="26" fillId="265" borderId="0" xfId="0" applyNumberFormat="1" applyFont="1" applyFill="1" applyBorder="1" applyAlignment="1">
      <x:alignment vertical="center" wrapText="1"/>
    </x:xf>
    <x:xf numFmtId="0" fontId="27" fillId="263" borderId="0" xfId="0" applyNumberFormat="1" applyFont="1" applyFill="1" applyBorder="1" applyAlignment="1">
      <x:alignment vertical="top" wrapText="1"/>
    </x:xf>
    <x:xf numFmtId="0" fontId="27" fillId="254" borderId="0" xfId="0" applyNumberFormat="1" applyFont="1" applyFill="1" applyBorder="1" applyAlignment="1">
      <x:alignment vertical="top" wrapText="1"/>
    </x:xf>
    <x:xf numFmtId="0" fontId="20" fillId="266" borderId="1" xfId="0" applyNumberFormat="1" applyFont="1" applyFill="1" applyBorder="1" applyAlignment="1">
      <x:alignment horizontal="left" vertical="center" wrapText="1"/>
    </x:xf>
    <x:xf numFmtId="165" fontId="34" fillId="266" borderId="1" xfId="0" applyNumberFormat="1" applyFont="1" applyFill="1" applyBorder="1" applyAlignment="1">
      <x:alignment horizontal="left" vertical="center" wrapText="1"/>
    </x:xf>
    <x:xf numFmtId="166" fontId="34" fillId="266" borderId="1" xfId="0" applyNumberFormat="1" applyFont="1" applyFill="1" applyBorder="1" applyAlignment="1">
      <x:alignment horizontal="left" vertical="center" wrapText="1"/>
    </x:xf>
    <x:xf numFmtId="0" fontId="34" fillId="266" borderId="1" xfId="0" applyNumberFormat="1" applyFont="1" applyFill="1" applyBorder="1" applyAlignment="1">
      <x:alignment horizontal="left" vertical="center" wrapText="1"/>
    </x:xf>
    <x:xf numFmtId="0" fontId="34" fillId="266" borderId="0" xfId="0" applyNumberFormat="1" applyFont="1" applyFill="1" applyBorder="1" applyAlignment="1">
      <x:alignment horizontal="left" vertical="center" wrapText="1"/>
    </x:xf>
    <x:xf numFmtId="167" fontId="34" fillId="266" borderId="1" xfId="0" applyNumberFormat="1" applyFont="1" applyFill="1" applyBorder="1" applyAlignment="1">
      <x:alignment horizontal="left" vertical="center" wrapText="1"/>
    </x:xf>
    <x:xf numFmtId="168" fontId="34" fillId="266" borderId="1" xfId="0" applyNumberFormat="1" applyFont="1" applyFill="1" applyBorder="1" applyAlignment="1">
      <x:alignment horizontal="left" vertical="center" wrapText="1"/>
    </x:xf>
    <x:xf numFmtId="170" fontId="34" fillId="266" borderId="1" xfId="0" applyNumberFormat="1" applyFont="1" applyFill="1" applyBorder="1" applyAlignment="1">
      <x:alignment horizontal="left" vertical="center" wrapText="1"/>
    </x:xf>
    <x:xf numFmtId="0" fontId="35" fillId="266" borderId="6" xfId="0" applyNumberFormat="1" applyFont="1" applyFill="1" applyBorder="1" applyAlignment="1">
      <x:alignment horizontal="left" vertical="center" wrapText="1"/>
    </x:xf>
    <x:xf numFmtId="0" fontId="35" fillId="266" borderId="7" xfId="0" applyNumberFormat="1" applyFont="1" applyFill="1" applyBorder="1" applyAlignment="1">
      <x:alignment horizontal="left" vertical="center" wrapText="1"/>
    </x:xf>
    <x:xf numFmtId="0" fontId="35" fillId="266" borderId="8" xfId="0" applyNumberFormat="1" applyFont="1" applyFill="1" applyBorder="1" applyAlignment="1">
      <x:alignment horizontal="left" vertical="center" wrapText="1"/>
    </x:xf>
    <x:xf numFmtId="0" fontId="35" fillId="266" borderId="9" xfId="0" applyNumberFormat="1" applyFont="1" applyFill="1" applyBorder="1" applyAlignment="1">
      <x:alignment horizontal="left" vertical="center" wrapText="1"/>
    </x:xf>
    <x:xf numFmtId="0" fontId="35" fillId="266" borderId="0" xfId="0" applyNumberFormat="1" applyFont="1" applyFill="1" applyBorder="1" applyAlignment="1">
      <x:alignment horizontal="left" vertical="center" wrapText="1"/>
    </x:xf>
    <x:xf numFmtId="0" fontId="35" fillId="266" borderId="10" xfId="0" applyNumberFormat="1" applyFont="1" applyFill="1" applyBorder="1" applyAlignment="1">
      <x:alignment horizontal="left" vertical="center" wrapText="1"/>
    </x:xf>
    <x:xf numFmtId="0" fontId="35" fillId="266" borderId="11" xfId="0" applyNumberFormat="1" applyFont="1" applyFill="1" applyBorder="1" applyAlignment="1">
      <x:alignment horizontal="left" vertical="center" wrapText="1"/>
    </x:xf>
    <x:xf numFmtId="0" fontId="35" fillId="266" borderId="12" xfId="0" applyNumberFormat="1" applyFont="1" applyFill="1" applyBorder="1" applyAlignment="1">
      <x:alignment horizontal="left" vertical="center" wrapText="1"/>
    </x:xf>
    <x:xf numFmtId="0" fontId="35" fillId="266" borderId="13" xfId="0" applyNumberFormat="1" applyFont="1" applyFill="1" applyBorder="1" applyAlignment="1">
      <x:alignment horizontal="left" vertical="center" wrapText="1"/>
    </x:xf>
    <x:xf numFmtId="0" fontId="36" fillId="254" borderId="9" xfId="0" applyNumberFormat="1" applyFont="1" applyFill="1" applyBorder="1" applyAlignment="1">
      <x:alignment horizontal="left" vertical="center" wrapText="1"/>
    </x:xf>
    <x:xf numFmtId="0" fontId="36" fillId="254" borderId="0" xfId="0" applyNumberFormat="1" applyFont="1" applyFill="1" applyBorder="1" applyAlignment="1">
      <x:alignment horizontal="left" vertical="center" wrapText="1"/>
    </x:xf>
    <x:xf numFmtId="0" fontId="36" fillId="254" borderId="10" xfId="0" applyNumberFormat="1" applyFont="1" applyFill="1" applyBorder="1" applyAlignment="1">
      <x:alignment horizontal="left" vertical="center" wrapText="1"/>
    </x:xf>
    <x:xf numFmtId="0" fontId="36" fillId="254" borderId="11" xfId="0" applyNumberFormat="1" applyFont="1" applyFill="1" applyBorder="1" applyAlignment="1">
      <x:alignment horizontal="left" vertical="center" wrapText="1"/>
    </x:xf>
    <x:xf numFmtId="0" fontId="36" fillId="254" borderId="12" xfId="0" applyNumberFormat="1" applyFont="1" applyFill="1" applyBorder="1" applyAlignment="1">
      <x:alignment horizontal="left" vertical="center" wrapText="1"/>
    </x:xf>
    <x:xf numFmtId="0" fontId="36" fillId="254" borderId="13" xfId="0" applyNumberFormat="1" applyFont="1" applyFill="1" applyBorder="1" applyAlignment="1">
      <x:alignment horizontal="left" vertical="center" wrapText="1"/>
    </x:xf>
    <x:xf numFmtId="0" fontId="27" fillId="254" borderId="0" xfId="0" applyNumberFormat="1" applyFont="1" applyFill="1" applyBorder="1" applyAlignment="1">
      <x:alignment vertical="center" wrapText="1"/>
    </x:xf>
    <x:xf numFmtId="0" fontId="52" fillId="265" borderId="0" xfId="0" applyNumberFormat="1" applyFont="1" applyFill="1" applyBorder="1" applyAlignment="1">
      <x:alignment vertical="center" wrapText="1"/>
    </x:xf>
    <x:xf numFmtId="0" fontId="34" fillId="265" borderId="0" xfId="0" applyNumberFormat="1" applyFont="1" applyFill="1" applyBorder="1" applyAlignment="1">
      <x:alignment vertical="center" wrapText="1"/>
    </x:xf>
    <x:xf numFmtId="0" fontId="29" fillId="265" borderId="0" xfId="0" applyNumberFormat="1" applyFont="1" applyFill="1" applyBorder="1" applyAlignment="1">
      <x:alignment vertical="center" wrapText="1"/>
    </x:xf>
    <x:xf numFmtId="0" fontId="20" fillId="265" borderId="0" xfId="0" applyNumberFormat="1" applyFont="1" applyFill="1" applyBorder="1" applyAlignment="1">
      <x:alignment vertical="center" wrapText="1"/>
    </x:xf>
    <x:xf numFmtId="0" fontId="53" fillId="265" borderId="0" xfId="0" applyNumberFormat="1" applyFont="1" applyFill="1" applyBorder="1" applyAlignment="1">
      <x:alignment horizontal="center" vertical="center" wrapText="1"/>
    </x:xf>
    <x:xf numFmtId="0" fontId="51" fillId="265" borderId="0" xfId="0" applyNumberFormat="1" applyFont="1" applyFill="1" applyBorder="1" applyAlignment="1">
      <x:alignment vertical="center" wrapText="1"/>
    </x:xf>
    <x:xf numFmtId="0" fontId="35" fillId="265" borderId="0" xfId="0" applyNumberFormat="1" applyFont="1" applyFill="1" applyBorder="1" applyAlignment="1">
      <x:alignment vertical="center" wrapText="1"/>
    </x:xf>
    <x:xf numFmtId="0" fontId="29" fillId="265" borderId="0" xfId="0" applyNumberFormat="1" applyFont="1" applyFill="1" applyBorder="1" applyAlignment="1">
      <x:alignment horizontal="center" vertical="center" wrapText="1"/>
    </x:xf>
    <x:xf numFmtId="0" fontId="29" fillId="254" borderId="0" xfId="0" applyNumberFormat="1" applyFont="1" applyFill="1" applyBorder="1" applyAlignment="1">
      <x:alignment vertical="center" wrapText="1"/>
    </x:xf>
    <x:xf numFmtId="0" fontId="52" fillId="254" borderId="0" xfId="0" applyNumberFormat="1" applyFont="1" applyFill="1" applyBorder="1" applyAlignment="1">
      <x:alignment vertical="center" wrapText="1"/>
    </x:xf>
    <x:xf numFmtId="0" fontId="29" fillId="266" borderId="0" xfId="0" applyNumberFormat="1" applyFont="1" applyFill="1" applyBorder="1" applyAlignment="1">
      <x:alignment vertical="center" wrapText="1"/>
    </x:xf>
    <x:xf numFmtId="0" fontId="29" fillId="266" borderId="0" xfId="0" applyNumberFormat="1" applyFont="1" applyFill="1" applyBorder="1" applyAlignment="1">
      <x:alignment horizontal="center" vertical="center" wrapText="1"/>
    </x:xf>
    <x:xf numFmtId="0" fontId="53" fillId="266" borderId="0" xfId="0" applyNumberFormat="1" applyFont="1" applyFill="1" applyBorder="1" applyAlignment="1">
      <x:alignment horizontal="center" vertical="center" wrapText="1"/>
    </x:xf>
    <x:xf numFmtId="0" fontId="29" fillId="254" borderId="0" xfId="0" applyNumberFormat="1" applyFont="1" applyFill="1" applyBorder="1" applyAlignment="1">
      <x:alignment horizontal="center" vertical="center" wrapText="1"/>
    </x:xf>
    <x:xf numFmtId="0" fontId="53" fillId="254" borderId="0" xfId="0" applyNumberFormat="1" applyFont="1" applyFill="1" applyBorder="1" applyAlignment="1">
      <x:alignment horizontal="center" vertical="center" wrapText="1"/>
    </x:xf>
    <x:xf numFmtId="0" fontId="35" fillId="254" borderId="0" xfId="0" applyNumberFormat="1" applyFont="1" applyFill="1" applyBorder="1" applyAlignment="1">
      <x:alignment vertical="center" wrapText="1"/>
    </x:xf>
    <x:xf numFmtId="0" fontId="25" fillId="263" borderId="0" xfId="0" applyNumberFormat="1" applyFont="1" applyFill="1" applyBorder="1" applyAlignment="1">
      <x:alignment wrapText="1"/>
    </x:xf>
    <x:xf numFmtId="0" fontId="23" fillId="265" borderId="0" xfId="0" applyNumberFormat="1" applyFont="1" applyFill="1" applyBorder="1" applyAlignment="1">
      <x:alignment horizontal="center" vertical="center" wrapText="1"/>
    </x:xf>
    <x:xf numFmtId="0" fontId="23" fillId="266" borderId="0" xfId="0" applyNumberFormat="1" applyFont="1" applyFill="1" applyBorder="1" applyAlignment="1">
      <x:alignment horizontal="center" vertical="center" wrapText="1"/>
    </x:xf>
    <x:xf numFmtId="0" fontId="34" fillId="266" borderId="0" xfId="0" applyNumberFormat="1" applyFont="1" applyFill="1" applyBorder="1" applyAlignment="1">
      <x:alignment vertical="center" wrapText="1"/>
    </x:xf>
    <x:xf numFmtId="0" fontId="23" fillId="254" borderId="0" xfId="0" applyNumberFormat="1" applyFont="1" applyFill="1" applyBorder="1" applyAlignment="1">
      <x:alignment horizontal="center" vertical="center" wrapText="1"/>
    </x:xf>
    <x:xf numFmtId="0" fontId="34" fillId="254" borderId="0" xfId="0" applyNumberFormat="1" applyFont="1" applyFill="1" applyBorder="1" applyAlignment="1">
      <x:alignment vertical="center" wrapText="1"/>
    </x:xf>
    <x:xf numFmtId="0" fontId="25" fillId="254" borderId="0" xfId="0" applyNumberFormat="1" applyFont="1" applyFill="1" applyBorder="1" applyAlignment="1">
      <x:alignment vertical="top" wrapText="1"/>
    </x:xf>
    <x:xf numFmtId="0" fontId="0" fillId="265" borderId="0" xfId="0" applyNumberFormat="1" applyFont="1" applyFill="1" applyBorder="1"/>
    <x:xf numFmtId="0" fontId="26" fillId="265" borderId="0" xfId="0" applyNumberFormat="1" applyFont="1" applyFill="1" applyBorder="1"/>
    <x:xf numFmtId="0" fontId="26" fillId="265" borderId="0" xfId="0" applyNumberFormat="1" applyFont="1" applyFill="1" applyBorder="1" applyAlignment="1">
      <x:alignment wrapText="1"/>
    </x:xf>
    <x:xf numFmtId="0" fontId="0" fillId="263" borderId="0" xfId="0" applyNumberFormat="1" applyFont="1" applyFill="1" applyBorder="1"/>
    <x:xf numFmtId="0" fontId="27" fillId="263" borderId="0" xfId="0" applyNumberFormat="1" applyFont="1" applyFill="1" applyBorder="1"/>
    <x:xf numFmtId="0" fontId="27" fillId="263" borderId="0" xfId="0" applyNumberFormat="1" applyFont="1" applyFill="1" applyBorder="1" applyAlignment="1">
      <x:alignment wrapText="1"/>
    </x:xf>
    <x:xf numFmtId="204" fontId="25" fillId="0" borderId="0" xfId="0" applyNumberFormat="1" applyFont="1" applyFill="1" applyBorder="1" applyAlignment="1">
      <x:alignment vertical="top" wrapText="1"/>
    </x:xf>
    <x:xf numFmtId="208" fontId="25" fillId="0" borderId="0" xfId="0" applyNumberFormat="1" applyFont="1" applyFill="1" applyBorder="1" applyAlignment="1">
      <x:alignment vertical="top" wrapText="1"/>
    </x:xf>
    <x:xf numFmtId="204" fontId="25" fillId="255" borderId="0" xfId="0" applyNumberFormat="1" applyFont="1" applyFill="1" applyBorder="1" applyAlignment="1">
      <x:alignment vertical="top" wrapText="1"/>
    </x:xf>
    <x:xf numFmtId="208" fontId="25" fillId="255" borderId="0" xfId="0" applyNumberFormat="1" applyFont="1" applyFill="1" applyBorder="1" applyAlignment="1">
      <x:alignment vertical="top" wrapText="1"/>
    </x:xf>
    <x:xf numFmtId="204" fontId="25" fillId="257" borderId="0" xfId="0" applyNumberFormat="1" applyFont="1" applyFill="1" applyBorder="1" applyAlignment="1">
      <x:alignment vertical="top" wrapText="1"/>
    </x:xf>
    <x:xf numFmtId="208" fontId="25" fillId="257" borderId="0" xfId="0" applyNumberFormat="1" applyFont="1" applyFill="1" applyBorder="1" applyAlignment="1">
      <x:alignment vertical="top" wrapText="1"/>
    </x:xf>
    <x:xf numFmtId="0" fontId="51" fillId="265" borderId="0" xfId="0" applyNumberFormat="1" applyFont="1" applyFill="1" applyBorder="1"/>
    <x:xf numFmtId="0" fontId="51" fillId="265" borderId="0" xfId="0" applyNumberFormat="1" applyFont="1" applyFill="1" applyBorder="1" applyAlignment="1">
      <x:alignment wrapText="1"/>
    </x:xf>
    <x:xf numFmtId="0" fontId="51" fillId="254" borderId="0" xfId="0" applyNumberFormat="1" applyFont="1" applyFill="1" applyBorder="1" applyAlignment="1">
      <x:alignment vertical="center" wrapText="1"/>
    </x:xf>
    <x:xf numFmtId="0" fontId="51" fillId="266" borderId="0" xfId="0" applyNumberFormat="1" applyFont="1" applyFill="1" applyBorder="1" applyAlignment="1">
      <x:alignment vertical="center" wrapText="1"/>
    </x:xf>
    <x:xf numFmtId="0" fontId="20" fillId="266" borderId="0" xfId="0" applyNumberFormat="1" applyFont="1" applyFill="1" applyBorder="1" applyAlignment="1">
      <x:alignment vertical="center" wrapText="1"/>
    </x:xf>
    <x:xf numFmtId="0" fontId="35" fillId="266" borderId="0" xfId="0" applyNumberFormat="1" applyFont="1" applyFill="1" applyBorder="1" applyAlignment="1">
      <x:alignment vertical="center" wrapText="1"/>
    </x:xf>
    <x:xf numFmtId="0" fontId="64" fillId="16" borderId="0" xfId="0" applyNumberFormat="1" applyFont="1" applyFill="1" applyBorder="1" applyAlignment="1">
      <x:alignment vertical="center" wrapText="1"/>
    </x:xf>
    <x:xf numFmtId="0" fontId="64" fillId="6" borderId="0" xfId="0" applyNumberFormat="1" applyFont="1" applyFill="1" applyBorder="1" applyAlignment="1">
      <x:alignment vertical="top" wrapText="1"/>
    </x:xf>
    <x:xf numFmtId="0" fontId="64" fillId="17" borderId="0" xfId="0" applyNumberFormat="1" applyFont="1" applyFill="1" applyBorder="1" applyAlignment="1">
      <x:alignment vertical="top" wrapText="1"/>
    </x:xf>
    <x:xf numFmtId="0" fontId="64" fillId="16" borderId="0" xfId="0" applyNumberFormat="1" applyFont="1" applyFill="1" applyBorder="1" applyAlignment="1">
      <x:alignment vertical="top" wrapText="1"/>
    </x:xf>
    <x:xf numFmtId="0" fontId="64" fillId="267" borderId="0" xfId="0" applyNumberFormat="1" applyFont="1" applyFill="1" applyBorder="1" applyAlignment="1">
      <x:alignment vertical="top" wrapText="1"/>
    </x:xf>
    <x:xf numFmtId="0" fontId="20" fillId="267" borderId="0" xfId="0" applyNumberFormat="1" applyFont="1" applyFill="1" applyBorder="1" applyAlignment="1">
      <x:alignment vertical="top" wrapText="1"/>
    </x:xf>
    <x:xf numFmtId="0" fontId="20" fillId="267" borderId="0" xfId="0" applyNumberFormat="1" applyFont="1" applyFill="1" applyBorder="1" applyAlignment="1">
      <x:alignment vertical="center" wrapText="1"/>
    </x:xf>
    <x:xf numFmtId="0" fontId="25" fillId="268" borderId="0" xfId="0" applyNumberFormat="1" applyFont="1" applyFill="1" applyBorder="1" applyAlignment="1">
      <x:alignment vertical="top" wrapText="1"/>
    </x:xf>
    <x:xf numFmtId="201" fontId="25" fillId="268" borderId="0" xfId="0" applyNumberFormat="1" applyFont="1" applyFill="1" applyBorder="1" applyAlignment="1">
      <x:alignment vertical="top" wrapText="1"/>
    </x:xf>
    <x:xf numFmtId="202" fontId="25" fillId="268" borderId="0" xfId="0" applyNumberFormat="1" applyFont="1" applyFill="1" applyBorder="1" applyAlignment="1">
      <x:alignment vertical="top" wrapText="1"/>
    </x:xf>
    <x:xf numFmtId="0" fontId="28" fillId="268" borderId="0" xfId="0" applyNumberFormat="1" applyFont="1" applyFill="1" applyBorder="1" applyAlignment="1">
      <x:alignment vertical="top" wrapText="1"/>
    </x:xf>
    <x:xf numFmtId="0" fontId="64" fillId="268" borderId="0" xfId="0" applyNumberFormat="1" applyFont="1" applyFill="1" applyBorder="1" applyAlignment="1">
      <x:alignment vertical="top" wrapText="1"/>
    </x:xf>
    <x:xf numFmtId="0" fontId="25" fillId="269" borderId="0" xfId="0" applyNumberFormat="1" applyFont="1" applyFill="1" applyBorder="1" applyAlignment="1">
      <x:alignment vertical="top" wrapText="1"/>
    </x:xf>
    <x:xf numFmtId="0" fontId="25" fillId="270" borderId="0" xfId="0" applyNumberFormat="1" applyFont="1" applyFill="1" applyBorder="1" applyAlignment="1">
      <x:alignment vertical="top" wrapText="1"/>
    </x:xf>
    <x:xf numFmtId="201" fontId="25" fillId="270" borderId="0" xfId="0" applyNumberFormat="1" applyFont="1" applyFill="1" applyBorder="1" applyAlignment="1">
      <x:alignment vertical="top" wrapText="1"/>
    </x:xf>
    <x:xf numFmtId="202" fontId="25" fillId="270" borderId="0" xfId="0" applyNumberFormat="1" applyFont="1" applyFill="1" applyBorder="1" applyAlignment="1">
      <x:alignment vertical="top" wrapText="1"/>
    </x:xf>
    <x:xf numFmtId="0" fontId="28" fillId="270" borderId="0" xfId="0" applyNumberFormat="1" applyFont="1" applyFill="1" applyBorder="1" applyAlignment="1">
      <x:alignment vertical="top" wrapText="1"/>
    </x:xf>
    <x:xf numFmtId="0" fontId="64" fillId="270" borderId="0" xfId="0" applyNumberFormat="1" applyFont="1" applyFill="1" applyBorder="1" applyAlignment="1">
      <x:alignment vertical="top" wrapText="1"/>
    </x:xf>
    <x:xf numFmtId="0" fontId="25" fillId="271" borderId="0" xfId="0" applyNumberFormat="1" applyFont="1" applyFill="1" applyBorder="1" applyAlignment="1">
      <x:alignment vertical="top" wrapText="1"/>
    </x:xf>
    <x:xf numFmtId="0" fontId="25" fillId="272" borderId="0" xfId="0" applyNumberFormat="1" applyFont="1" applyFill="1" applyBorder="1" applyAlignment="1">
      <x:alignment vertical="top" wrapText="1"/>
    </x:xf>
    <x:xf numFmtId="0" fontId="25" fillId="273" borderId="0" xfId="0" applyNumberFormat="1" applyFont="1" applyFill="1" applyBorder="1" applyAlignment="1">
      <x:alignment vertical="top" wrapText="1"/>
    </x:xf>
    <x:xf numFmtId="0" fontId="25" fillId="274" borderId="0" xfId="0" applyNumberFormat="1" applyFont="1" applyFill="1" applyBorder="1" applyAlignment="1">
      <x:alignment vertical="top" wrapText="1"/>
    </x:xf>
    <x:xf numFmtId="0" fontId="25" fillId="275" borderId="0" xfId="0" applyNumberFormat="1" applyFont="1" applyFill="1" applyBorder="1" applyAlignment="1">
      <x:alignment vertical="top" wrapText="1"/>
    </x:xf>
    <x:xf numFmtId="202" fontId="20" fillId="268" borderId="0" xfId="0" applyNumberFormat="1" applyFont="1" applyFill="1" applyBorder="1" applyAlignment="1">
      <x:alignment vertical="center" wrapText="1"/>
    </x:xf>
    <x:xf numFmtId="0" fontId="27" fillId="276" borderId="0" xfId="0" applyNumberFormat="1" applyFont="1" applyFill="1" applyBorder="1" applyAlignment="1">
      <x:alignment vertical="center" wrapText="1"/>
    </x:xf>
    <x:xf numFmtId="0" fontId="20" fillId="268" borderId="0" xfId="0" applyNumberFormat="1" applyFont="1" applyFill="1" applyBorder="1" applyAlignment="1">
      <x:alignment vertical="center" wrapText="1"/>
    </x:xf>
    <x:xf numFmtId="0" fontId="27" fillId="268" borderId="0" xfId="0" applyNumberFormat="1" applyFont="1" applyFill="1" applyBorder="1" applyAlignment="1">
      <x:alignment vertical="center" wrapText="1"/>
    </x:xf>
    <x:xf numFmtId="0" fontId="0" fillId="268" borderId="0" xfId="0" applyNumberFormat="1" applyFont="1" applyFill="1" applyBorder="1"/>
    <x:xf numFmtId="0" fontId="30" fillId="268" borderId="0" xfId="0" applyNumberFormat="1" applyFont="1" applyFill="1" applyBorder="1" applyAlignment="1">
      <x:alignment vertical="center" wrapText="1"/>
    </x:xf>
    <x:xf numFmtId="202" fontId="64" fillId="6" borderId="0" xfId="0" applyNumberFormat="1" applyFont="1" applyFill="1" applyBorder="1" applyAlignment="1">
      <x:alignment vertical="center" wrapText="1"/>
    </x:xf>
    <x:xf numFmtId="203" fontId="64" fillId="6" borderId="0" xfId="0" applyNumberFormat="1" applyFont="1" applyFill="1" applyBorder="1" applyAlignment="1">
      <x:alignment vertical="top" wrapText="1"/>
    </x:xf>
    <x:xf numFmtId="202" fontId="64" fillId="6" borderId="0" xfId="0" applyNumberFormat="1" applyFont="1" applyFill="1" applyBorder="1" applyAlignment="1">
      <x:alignment vertical="top" wrapText="1"/>
    </x:xf>
    <x:xf numFmtId="0" fontId="64" fillId="30" borderId="0" xfId="0" applyNumberFormat="1" applyFont="1" applyFill="1" applyBorder="1" applyAlignment="1">
      <x:alignment vertical="top" wrapText="1"/>
    </x:xf>
    <x:xf numFmtId="0" fontId="64" fillId="18" borderId="0" xfId="0" applyNumberFormat="1" applyFont="1" applyFill="1" applyBorder="1" applyAlignment="1">
      <x:alignment vertical="top" wrapText="1"/>
    </x:xf>
    <x:xf numFmtId="203" fontId="64" fillId="17" borderId="0" xfId="0" applyNumberFormat="1" applyFont="1" applyFill="1" applyBorder="1" applyAlignment="1">
      <x:alignment vertical="top" wrapText="1"/>
    </x:xf>
    <x:xf numFmtId="202" fontId="64" fillId="267" borderId="0" xfId="0" applyNumberFormat="1" applyFont="1" applyFill="1" applyBorder="1" applyAlignment="1">
      <x:alignment vertical="top" wrapText="1"/>
    </x:xf>
    <x:xf numFmtId="202" fontId="20" fillId="267" borderId="0" xfId="0" applyNumberFormat="1" applyFont="1" applyFill="1" applyBorder="1" applyAlignment="1">
      <x:alignment vertical="top" wrapText="1"/>
    </x:xf>
    <x:xf numFmtId="202" fontId="20" fillId="267" borderId="0" xfId="0" applyNumberFormat="1" applyFont="1" applyFill="1" applyBorder="1" applyAlignment="1">
      <x:alignment vertical="center" wrapText="1"/>
    </x:xf>
    <x:xf numFmtId="203" fontId="64" fillId="268" borderId="0" xfId="0" applyNumberFormat="1" applyFont="1" applyFill="1" applyBorder="1" applyAlignment="1">
      <x:alignment vertical="top" wrapText="1"/>
    </x:xf>
    <x:xf numFmtId="202" fontId="64" fillId="268" borderId="0" xfId="0" applyNumberFormat="1" applyFont="1" applyFill="1" applyBorder="1" applyAlignment="1">
      <x:alignment vertical="top" wrapText="1"/>
    </x:xf>
    <x:xf numFmtId="203" fontId="64" fillId="270" borderId="0" xfId="0" applyNumberFormat="1" applyFont="1" applyFill="1" applyBorder="1" applyAlignment="1">
      <x:alignment vertical="top" wrapText="1"/>
    </x:xf>
    <x:xf numFmtId="202" fontId="64" fillId="270" borderId="0" xfId="0" applyNumberFormat="1" applyFont="1" applyFill="1" applyBorder="1" applyAlignment="1">
      <x:alignment vertical="top" wrapText="1"/>
    </x:xf>
    <x:xf numFmtId="0" fontId="65" fillId="268" borderId="0" xfId="0" applyNumberFormat="1" applyFont="1" applyFill="1" applyBorder="1" applyAlignment="1">
      <x:alignment vertical="top" wrapText="1"/>
    </x:xf>
    <x:xf numFmtId="0" fontId="65" fillId="270" borderId="0" xfId="0" applyNumberFormat="1" applyFont="1" applyFill="1" applyBorder="1" applyAlignment="1">
      <x:alignment vertical="top" wrapText="1"/>
    </x:xf>
    <x:xf numFmtId="0" fontId="64" fillId="277" borderId="0" xfId="0" applyNumberFormat="1" applyFont="1" applyFill="1" applyBorder="1" applyAlignment="1">
      <x:alignment vertical="top" wrapText="1"/>
    </x:xf>
    <x:xf numFmtId="0" fontId="64" fillId="275" borderId="0" xfId="0" applyNumberFormat="1" applyFont="1" applyFill="1" applyBorder="1" applyAlignment="1">
      <x:alignment vertical="top" wrapText="1"/>
    </x:xf>
    <x:xf numFmtId="0" fontId="26" fillId="268" borderId="0" xfId="0" applyNumberFormat="1" applyFont="1" applyFill="1" applyBorder="1" applyAlignment="1">
      <x:alignment vertical="center" wrapText="1"/>
    </x:xf>
    <x:xf numFmtId="0" fontId="27" fillId="268" borderId="0" xfId="0" applyNumberFormat="1" applyFont="1" applyFill="1" applyBorder="1" applyAlignment="1">
      <x:alignment vertical="top" wrapText="1"/>
    </x:xf>
    <x:xf numFmtId="0" fontId="27" fillId="278" borderId="0" xfId="0" applyNumberFormat="1" applyFont="1" applyFill="1" applyBorder="1" applyAlignment="1">
      <x:alignment vertical="top" wrapText="1"/>
    </x:xf>
    <x:xf numFmtId="0" fontId="26" fillId="278" borderId="0" xfId="0" applyNumberFormat="1" applyFont="1" applyFill="1" applyBorder="1" applyAlignment="1">
      <x:alignment vertical="top" wrapText="1"/>
    </x:xf>
    <x:xf numFmtId="0" fontId="26" fillId="278" borderId="0" xfId="0" applyNumberFormat="1" applyFont="1" applyFill="1" applyBorder="1" applyAlignment="1">
      <x:alignment vertical="center" wrapText="1"/>
    </x:xf>
    <x:xf numFmtId="0" fontId="27" fillId="276" borderId="0" xfId="0" applyNumberFormat="1" applyFont="1" applyFill="1" applyBorder="1" applyAlignment="1">
      <x:alignment vertical="top" wrapText="1"/>
    </x:xf>
    <x:xf numFmtId="0" fontId="27" fillId="267" borderId="0" xfId="0" applyNumberFormat="1" applyFont="1" applyFill="1" applyBorder="1" applyAlignment="1">
      <x:alignment vertical="top" wrapText="1"/>
    </x:xf>
    <x:xf numFmtId="0" fontId="20" fillId="279" borderId="1" xfId="0" applyNumberFormat="1" applyFont="1" applyFill="1" applyBorder="1" applyAlignment="1">
      <x:alignment horizontal="left" vertical="center" wrapText="1"/>
    </x:xf>
    <x:xf numFmtId="165" fontId="34" fillId="279" borderId="1" xfId="0" applyNumberFormat="1" applyFont="1" applyFill="1" applyBorder="1" applyAlignment="1">
      <x:alignment horizontal="left" vertical="center" wrapText="1"/>
    </x:xf>
    <x:xf numFmtId="166" fontId="34" fillId="279" borderId="1" xfId="0" applyNumberFormat="1" applyFont="1" applyFill="1" applyBorder="1" applyAlignment="1">
      <x:alignment horizontal="left" vertical="center" wrapText="1"/>
    </x:xf>
    <x:xf numFmtId="0" fontId="34" fillId="279" borderId="1" xfId="0" applyNumberFormat="1" applyFont="1" applyFill="1" applyBorder="1" applyAlignment="1">
      <x:alignment horizontal="left" vertical="center" wrapText="1"/>
    </x:xf>
    <x:xf numFmtId="0" fontId="34" fillId="279" borderId="0" xfId="0" applyNumberFormat="1" applyFont="1" applyFill="1" applyBorder="1" applyAlignment="1">
      <x:alignment horizontal="left" vertical="center" wrapText="1"/>
    </x:xf>
    <x:xf numFmtId="167" fontId="34" fillId="279" borderId="1" xfId="0" applyNumberFormat="1" applyFont="1" applyFill="1" applyBorder="1" applyAlignment="1">
      <x:alignment horizontal="left" vertical="center" wrapText="1"/>
    </x:xf>
    <x:xf numFmtId="168" fontId="34" fillId="279" borderId="1" xfId="0" applyNumberFormat="1" applyFont="1" applyFill="1" applyBorder="1" applyAlignment="1">
      <x:alignment horizontal="left" vertical="center" wrapText="1"/>
    </x:xf>
    <x:xf numFmtId="170" fontId="34" fillId="279" borderId="1" xfId="0" applyNumberFormat="1" applyFont="1" applyFill="1" applyBorder="1" applyAlignment="1">
      <x:alignment horizontal="left" vertical="center" wrapText="1"/>
    </x:xf>
    <x:xf numFmtId="0" fontId="35" fillId="279" borderId="6" xfId="0" applyNumberFormat="1" applyFont="1" applyFill="1" applyBorder="1" applyAlignment="1">
      <x:alignment horizontal="left" vertical="center" wrapText="1"/>
    </x:xf>
    <x:xf numFmtId="0" fontId="35" fillId="279" borderId="7" xfId="0" applyNumberFormat="1" applyFont="1" applyFill="1" applyBorder="1" applyAlignment="1">
      <x:alignment horizontal="left" vertical="center" wrapText="1"/>
    </x:xf>
    <x:xf numFmtId="0" fontId="35" fillId="279" borderId="8" xfId="0" applyNumberFormat="1" applyFont="1" applyFill="1" applyBorder="1" applyAlignment="1">
      <x:alignment horizontal="left" vertical="center" wrapText="1"/>
    </x:xf>
    <x:xf numFmtId="0" fontId="35" fillId="279" borderId="9" xfId="0" applyNumberFormat="1" applyFont="1" applyFill="1" applyBorder="1" applyAlignment="1">
      <x:alignment horizontal="left" vertical="center" wrapText="1"/>
    </x:xf>
    <x:xf numFmtId="0" fontId="35" fillId="279" borderId="0" xfId="0" applyNumberFormat="1" applyFont="1" applyFill="1" applyBorder="1" applyAlignment="1">
      <x:alignment horizontal="left" vertical="center" wrapText="1"/>
    </x:xf>
    <x:xf numFmtId="0" fontId="35" fillId="279" borderId="10" xfId="0" applyNumberFormat="1" applyFont="1" applyFill="1" applyBorder="1" applyAlignment="1">
      <x:alignment horizontal="left" vertical="center" wrapText="1"/>
    </x:xf>
    <x:xf numFmtId="0" fontId="35" fillId="279" borderId="11" xfId="0" applyNumberFormat="1" applyFont="1" applyFill="1" applyBorder="1" applyAlignment="1">
      <x:alignment horizontal="left" vertical="center" wrapText="1"/>
    </x:xf>
    <x:xf numFmtId="0" fontId="35" fillId="279" borderId="12" xfId="0" applyNumberFormat="1" applyFont="1" applyFill="1" applyBorder="1" applyAlignment="1">
      <x:alignment horizontal="left" vertical="center" wrapText="1"/>
    </x:xf>
    <x:xf numFmtId="0" fontId="35" fillId="279" borderId="13" xfId="0" applyNumberFormat="1" applyFont="1" applyFill="1" applyBorder="1" applyAlignment="1">
      <x:alignment horizontal="left" vertical="center" wrapText="1"/>
    </x:xf>
    <x:xf numFmtId="0" fontId="36" fillId="267" borderId="9" xfId="0" applyNumberFormat="1" applyFont="1" applyFill="1" applyBorder="1" applyAlignment="1">
      <x:alignment horizontal="left" vertical="center" wrapText="1"/>
    </x:xf>
    <x:xf numFmtId="0" fontId="36" fillId="267" borderId="0" xfId="0" applyNumberFormat="1" applyFont="1" applyFill="1" applyBorder="1" applyAlignment="1">
      <x:alignment horizontal="left" vertical="center" wrapText="1"/>
    </x:xf>
    <x:xf numFmtId="0" fontId="36" fillId="267" borderId="10" xfId="0" applyNumberFormat="1" applyFont="1" applyFill="1" applyBorder="1" applyAlignment="1">
      <x:alignment horizontal="left" vertical="center" wrapText="1"/>
    </x:xf>
    <x:xf numFmtId="0" fontId="36" fillId="267" borderId="11" xfId="0" applyNumberFormat="1" applyFont="1" applyFill="1" applyBorder="1" applyAlignment="1">
      <x:alignment horizontal="left" vertical="center" wrapText="1"/>
    </x:xf>
    <x:xf numFmtId="0" fontId="36" fillId="267" borderId="12" xfId="0" applyNumberFormat="1" applyFont="1" applyFill="1" applyBorder="1" applyAlignment="1">
      <x:alignment horizontal="left" vertical="center" wrapText="1"/>
    </x:xf>
    <x:xf numFmtId="0" fontId="36" fillId="267" borderId="13" xfId="0" applyNumberFormat="1" applyFont="1" applyFill="1" applyBorder="1" applyAlignment="1">
      <x:alignment horizontal="left" vertical="center" wrapText="1"/>
    </x:xf>
    <x:xf numFmtId="0" fontId="27" fillId="267" borderId="0" xfId="0" applyNumberFormat="1" applyFont="1" applyFill="1" applyBorder="1" applyAlignment="1">
      <x:alignment vertical="center" wrapText="1"/>
    </x:xf>
    <x:xf numFmtId="0" fontId="52" fillId="278" borderId="0" xfId="0" applyNumberFormat="1" applyFont="1" applyFill="1" applyBorder="1" applyAlignment="1">
      <x:alignment vertical="center" wrapText="1"/>
    </x:xf>
    <x:xf numFmtId="0" fontId="34" fillId="278" borderId="0" xfId="0" applyNumberFormat="1" applyFont="1" applyFill="1" applyBorder="1" applyAlignment="1">
      <x:alignment vertical="center" wrapText="1"/>
    </x:xf>
    <x:xf numFmtId="0" fontId="29" fillId="278" borderId="0" xfId="0" applyNumberFormat="1" applyFont="1" applyFill="1" applyBorder="1" applyAlignment="1">
      <x:alignment vertical="center" wrapText="1"/>
    </x:xf>
    <x:xf numFmtId="0" fontId="20" fillId="278" borderId="0" xfId="0" applyNumberFormat="1" applyFont="1" applyFill="1" applyBorder="1" applyAlignment="1">
      <x:alignment vertical="center" wrapText="1"/>
    </x:xf>
    <x:xf numFmtId="0" fontId="53" fillId="278" borderId="0" xfId="0" applyNumberFormat="1" applyFont="1" applyFill="1" applyBorder="1" applyAlignment="1">
      <x:alignment horizontal="center" vertical="center" wrapText="1"/>
    </x:xf>
    <x:xf numFmtId="0" fontId="51" fillId="278" borderId="0" xfId="0" applyNumberFormat="1" applyFont="1" applyFill="1" applyBorder="1" applyAlignment="1">
      <x:alignment vertical="center" wrapText="1"/>
    </x:xf>
    <x:xf numFmtId="0" fontId="35" fillId="278" borderId="0" xfId="0" applyNumberFormat="1" applyFont="1" applyFill="1" applyBorder="1" applyAlignment="1">
      <x:alignment vertical="center" wrapText="1"/>
    </x:xf>
    <x:xf numFmtId="0" fontId="29" fillId="278" borderId="0" xfId="0" applyNumberFormat="1" applyFont="1" applyFill="1" applyBorder="1" applyAlignment="1">
      <x:alignment horizontal="center" vertical="center" wrapText="1"/>
    </x:xf>
    <x:xf numFmtId="0" fontId="29" fillId="267" borderId="0" xfId="0" applyNumberFormat="1" applyFont="1" applyFill="1" applyBorder="1" applyAlignment="1">
      <x:alignment vertical="center" wrapText="1"/>
    </x:xf>
    <x:xf numFmtId="0" fontId="52" fillId="267" borderId="0" xfId="0" applyNumberFormat="1" applyFont="1" applyFill="1" applyBorder="1" applyAlignment="1">
      <x:alignment vertical="center" wrapText="1"/>
    </x:xf>
    <x:xf numFmtId="0" fontId="29" fillId="279" borderId="0" xfId="0" applyNumberFormat="1" applyFont="1" applyFill="1" applyBorder="1" applyAlignment="1">
      <x:alignment vertical="center" wrapText="1"/>
    </x:xf>
    <x:xf numFmtId="0" fontId="29" fillId="279" borderId="0" xfId="0" applyNumberFormat="1" applyFont="1" applyFill="1" applyBorder="1" applyAlignment="1">
      <x:alignment horizontal="center" vertical="center" wrapText="1"/>
    </x:xf>
    <x:xf numFmtId="0" fontId="53" fillId="279" borderId="0" xfId="0" applyNumberFormat="1" applyFont="1" applyFill="1" applyBorder="1" applyAlignment="1">
      <x:alignment horizontal="center" vertical="center" wrapText="1"/>
    </x:xf>
    <x:xf numFmtId="0" fontId="29" fillId="267" borderId="0" xfId="0" applyNumberFormat="1" applyFont="1" applyFill="1" applyBorder="1" applyAlignment="1">
      <x:alignment horizontal="center" vertical="center" wrapText="1"/>
    </x:xf>
    <x:xf numFmtId="0" fontId="53" fillId="267" borderId="0" xfId="0" applyNumberFormat="1" applyFont="1" applyFill="1" applyBorder="1" applyAlignment="1">
      <x:alignment horizontal="center" vertical="center" wrapText="1"/>
    </x:xf>
    <x:xf numFmtId="0" fontId="35" fillId="267" borderId="0" xfId="0" applyNumberFormat="1" applyFont="1" applyFill="1" applyBorder="1" applyAlignment="1">
      <x:alignment vertical="center" wrapText="1"/>
    </x:xf>
    <x:xf numFmtId="0" fontId="25" fillId="276" borderId="0" xfId="0" applyNumberFormat="1" applyFont="1" applyFill="1" applyBorder="1" applyAlignment="1">
      <x:alignment wrapText="1"/>
    </x:xf>
    <x:xf numFmtId="0" fontId="23" fillId="278" borderId="0" xfId="0" applyNumberFormat="1" applyFont="1" applyFill="1" applyBorder="1" applyAlignment="1">
      <x:alignment horizontal="center" vertical="center" wrapText="1"/>
    </x:xf>
    <x:xf numFmtId="0" fontId="23" fillId="279" borderId="0" xfId="0" applyNumberFormat="1" applyFont="1" applyFill="1" applyBorder="1" applyAlignment="1">
      <x:alignment horizontal="center" vertical="center" wrapText="1"/>
    </x:xf>
    <x:xf numFmtId="0" fontId="34" fillId="279" borderId="0" xfId="0" applyNumberFormat="1" applyFont="1" applyFill="1" applyBorder="1" applyAlignment="1">
      <x:alignment vertical="center" wrapText="1"/>
    </x:xf>
    <x:xf numFmtId="0" fontId="23" fillId="267" borderId="0" xfId="0" applyNumberFormat="1" applyFont="1" applyFill="1" applyBorder="1" applyAlignment="1">
      <x:alignment horizontal="center" vertical="center" wrapText="1"/>
    </x:xf>
    <x:xf numFmtId="0" fontId="34" fillId="267" borderId="0" xfId="0" applyNumberFormat="1" applyFont="1" applyFill="1" applyBorder="1" applyAlignment="1">
      <x:alignment vertical="center" wrapText="1"/>
    </x:xf>
    <x:xf numFmtId="204" fontId="25" fillId="6" borderId="0" xfId="0" applyNumberFormat="1" applyFont="1" applyFill="1" applyBorder="1" applyAlignment="1">
      <x:alignment vertical="top" wrapText="1"/>
    </x:xf>
    <x:xf numFmtId="208" fontId="25" fillId="6" borderId="0" xfId="0" applyNumberFormat="1" applyFont="1" applyFill="1" applyBorder="1" applyAlignment="1">
      <x:alignment vertical="top" wrapText="1"/>
    </x:xf>
    <x:xf numFmtId="208" fontId="25" fillId="17" borderId="0" xfId="0" applyNumberFormat="1" applyFont="1" applyFill="1" applyBorder="1" applyAlignment="1">
      <x:alignment vertical="top" wrapText="1"/>
    </x:xf>
    <x:xf numFmtId="204" fontId="25" fillId="268" borderId="0" xfId="0" applyNumberFormat="1" applyFont="1" applyFill="1" applyBorder="1" applyAlignment="1">
      <x:alignment vertical="top" wrapText="1"/>
    </x:xf>
    <x:xf numFmtId="208" fontId="25" fillId="268" borderId="0" xfId="0" applyNumberFormat="1" applyFont="1" applyFill="1" applyBorder="1" applyAlignment="1">
      <x:alignment vertical="top" wrapText="1"/>
    </x:xf>
    <x:xf numFmtId="204" fontId="25" fillId="270" borderId="0" xfId="0" applyNumberFormat="1" applyFont="1" applyFill="1" applyBorder="1" applyAlignment="1">
      <x:alignment vertical="top" wrapText="1"/>
    </x:xf>
    <x:xf numFmtId="208" fontId="25" fillId="270" borderId="0" xfId="0" applyNumberFormat="1" applyFont="1" applyFill="1" applyBorder="1" applyAlignment="1">
      <x:alignment vertical="top" wrapText="1"/>
    </x:xf>
    <x:xf numFmtId="0" fontId="20" fillId="279" borderId="0" xfId="0" applyNumberFormat="1" applyFont="1" applyFill="1" applyBorder="1" applyAlignment="1">
      <x:alignment vertical="center" wrapText="1"/>
    </x:xf>
    <x:xf numFmtId="0" fontId="35" fillId="279" borderId="0" xfId="0" applyNumberFormat="1" applyFont="1" applyFill="1" applyBorder="1" applyAlignment="1">
      <x:alignment vertical="center" wrapText="1"/>
    </x:xf>
    <x:xf numFmtId="0" fontId="66" fillId="16" borderId="0" xfId="0" applyNumberFormat="1" applyFont="1" applyFill="1" applyBorder="1" applyAlignment="1">
      <x:alignment vertical="center" wrapText="1"/>
    </x:xf>
    <x:xf numFmtId="0" fontId="66" fillId="6" borderId="0" xfId="0" applyNumberFormat="1" applyFont="1" applyFill="1" applyBorder="1" applyAlignment="1">
      <x:alignment vertical="top" wrapText="1"/>
    </x:xf>
    <x:xf numFmtId="0" fontId="66" fillId="17" borderId="0" xfId="0" applyNumberFormat="1" applyFont="1" applyFill="1" applyBorder="1" applyAlignment="1">
      <x:alignment vertical="top" wrapText="1"/>
    </x:xf>
    <x:xf numFmtId="0" fontId="66" fillId="16" borderId="0" xfId="0" applyNumberFormat="1" applyFont="1" applyFill="1" applyBorder="1" applyAlignment="1">
      <x:alignment vertical="top" wrapText="1"/>
    </x:xf>
    <x:xf numFmtId="0" fontId="66" fillId="280" borderId="0" xfId="0" applyNumberFormat="1" applyFont="1" applyFill="1" applyBorder="1" applyAlignment="1">
      <x:alignment vertical="top" wrapText="1"/>
    </x:xf>
    <x:xf numFmtId="0" fontId="20" fillId="280" borderId="0" xfId="0" applyNumberFormat="1" applyFont="1" applyFill="1" applyBorder="1" applyAlignment="1">
      <x:alignment vertical="top" wrapText="1"/>
    </x:xf>
    <x:xf numFmtId="0" fontId="20" fillId="280" borderId="0" xfId="0" applyNumberFormat="1" applyFont="1" applyFill="1" applyBorder="1" applyAlignment="1">
      <x:alignment vertical="center" wrapText="1"/>
    </x:xf>
    <x:xf numFmtId="0" fontId="25" fillId="281" borderId="0" xfId="0" applyNumberFormat="1" applyFont="1" applyFill="1" applyBorder="1" applyAlignment="1">
      <x:alignment vertical="top" wrapText="1"/>
    </x:xf>
    <x:xf numFmtId="201" fontId="25" fillId="281" borderId="0" xfId="0" applyNumberFormat="1" applyFont="1" applyFill="1" applyBorder="1" applyAlignment="1">
      <x:alignment vertical="top" wrapText="1"/>
    </x:xf>
    <x:xf numFmtId="202" fontId="25" fillId="281" borderId="0" xfId="0" applyNumberFormat="1" applyFont="1" applyFill="1" applyBorder="1" applyAlignment="1">
      <x:alignment vertical="top" wrapText="1"/>
    </x:xf>
    <x:xf numFmtId="0" fontId="28" fillId="281" borderId="0" xfId="0" applyNumberFormat="1" applyFont="1" applyFill="1" applyBorder="1" applyAlignment="1">
      <x:alignment vertical="top" wrapText="1"/>
    </x:xf>
    <x:xf numFmtId="0" fontId="66" fillId="281" borderId="0" xfId="0" applyNumberFormat="1" applyFont="1" applyFill="1" applyBorder="1" applyAlignment="1">
      <x:alignment vertical="top" wrapText="1"/>
    </x:xf>
    <x:xf numFmtId="0" fontId="25" fillId="282" borderId="0" xfId="0" applyNumberFormat="1" applyFont="1" applyFill="1" applyBorder="1" applyAlignment="1">
      <x:alignment vertical="top" wrapText="1"/>
    </x:xf>
    <x:xf numFmtId="0" fontId="25" fillId="283" borderId="0" xfId="0" applyNumberFormat="1" applyFont="1" applyFill="1" applyBorder="1" applyAlignment="1">
      <x:alignment vertical="top" wrapText="1"/>
    </x:xf>
    <x:xf numFmtId="201" fontId="25" fillId="283" borderId="0" xfId="0" applyNumberFormat="1" applyFont="1" applyFill="1" applyBorder="1" applyAlignment="1">
      <x:alignment vertical="top" wrapText="1"/>
    </x:xf>
    <x:xf numFmtId="202" fontId="25" fillId="283" borderId="0" xfId="0" applyNumberFormat="1" applyFont="1" applyFill="1" applyBorder="1" applyAlignment="1">
      <x:alignment vertical="top" wrapText="1"/>
    </x:xf>
    <x:xf numFmtId="0" fontId="28" fillId="283" borderId="0" xfId="0" applyNumberFormat="1" applyFont="1" applyFill="1" applyBorder="1" applyAlignment="1">
      <x:alignment vertical="top" wrapText="1"/>
    </x:xf>
    <x:xf numFmtId="0" fontId="66" fillId="283" borderId="0" xfId="0" applyNumberFormat="1" applyFont="1" applyFill="1" applyBorder="1" applyAlignment="1">
      <x:alignment vertical="top" wrapText="1"/>
    </x:xf>
    <x:xf numFmtId="0" fontId="25" fillId="284" borderId="0" xfId="0" applyNumberFormat="1" applyFont="1" applyFill="1" applyBorder="1" applyAlignment="1">
      <x:alignment vertical="top" wrapText="1"/>
    </x:xf>
    <x:xf numFmtId="0" fontId="25" fillId="285" borderId="0" xfId="0" applyNumberFormat="1" applyFont="1" applyFill="1" applyBorder="1" applyAlignment="1">
      <x:alignment vertical="top" wrapText="1"/>
    </x:xf>
    <x:xf numFmtId="0" fontId="25" fillId="286" borderId="0" xfId="0" applyNumberFormat="1" applyFont="1" applyFill="1" applyBorder="1" applyAlignment="1">
      <x:alignment vertical="top" wrapText="1"/>
    </x:xf>
    <x:xf numFmtId="0" fontId="25" fillId="287" borderId="0" xfId="0" applyNumberFormat="1" applyFont="1" applyFill="1" applyBorder="1" applyAlignment="1">
      <x:alignment vertical="top" wrapText="1"/>
    </x:xf>
    <x:xf numFmtId="0" fontId="25" fillId="288" borderId="0" xfId="0" applyNumberFormat="1" applyFont="1" applyFill="1" applyBorder="1" applyAlignment="1">
      <x:alignment vertical="top" wrapText="1"/>
    </x:xf>
    <x:xf numFmtId="202" fontId="20" fillId="281" borderId="0" xfId="0" applyNumberFormat="1" applyFont="1" applyFill="1" applyBorder="1" applyAlignment="1">
      <x:alignment vertical="center" wrapText="1"/>
    </x:xf>
    <x:xf numFmtId="0" fontId="27" fillId="289" borderId="0" xfId="0" applyNumberFormat="1" applyFont="1" applyFill="1" applyBorder="1" applyAlignment="1">
      <x:alignment vertical="center" wrapText="1"/>
    </x:xf>
    <x:xf numFmtId="0" fontId="27" fillId="281" borderId="0" xfId="0" applyNumberFormat="1" applyFont="1" applyFill="1" applyBorder="1" applyAlignment="1">
      <x:alignment vertical="center" wrapText="1"/>
    </x:xf>
    <x:xf numFmtId="0" fontId="0" fillId="281" borderId="0" xfId="0" applyNumberFormat="1" applyFont="1" applyFill="1" applyBorder="1"/>
    <x:xf numFmtId="0" fontId="20" fillId="281" borderId="0" xfId="0" applyNumberFormat="1" applyFont="1" applyFill="1" applyBorder="1" applyAlignment="1">
      <x:alignment vertical="center" wrapText="1"/>
    </x:xf>
    <x:xf numFmtId="0" fontId="30" fillId="281" borderId="0" xfId="0" applyNumberFormat="1" applyFont="1" applyFill="1" applyBorder="1" applyAlignment="1">
      <x:alignment vertical="center" wrapText="1"/>
    </x:xf>
    <x:xf numFmtId="202" fontId="66" fillId="6" borderId="0" xfId="0" applyNumberFormat="1" applyFont="1" applyFill="1" applyBorder="1" applyAlignment="1">
      <x:alignment vertical="center" wrapText="1"/>
    </x:xf>
    <x:xf numFmtId="203" fontId="66" fillId="6" borderId="0" xfId="0" applyNumberFormat="1" applyFont="1" applyFill="1" applyBorder="1" applyAlignment="1">
      <x:alignment vertical="top" wrapText="1"/>
    </x:xf>
    <x:xf numFmtId="202" fontId="66" fillId="6" borderId="0" xfId="0" applyNumberFormat="1" applyFont="1" applyFill="1" applyBorder="1" applyAlignment="1">
      <x:alignment vertical="top" wrapText="1"/>
    </x:xf>
    <x:xf numFmtId="0" fontId="66" fillId="30" borderId="0" xfId="0" applyNumberFormat="1" applyFont="1" applyFill="1" applyBorder="1" applyAlignment="1">
      <x:alignment vertical="top" wrapText="1"/>
    </x:xf>
    <x:xf numFmtId="0" fontId="66" fillId="18" borderId="0" xfId="0" applyNumberFormat="1" applyFont="1" applyFill="1" applyBorder="1" applyAlignment="1">
      <x:alignment vertical="top" wrapText="1"/>
    </x:xf>
    <x:xf numFmtId="203" fontId="66" fillId="17" borderId="0" xfId="0" applyNumberFormat="1" applyFont="1" applyFill="1" applyBorder="1" applyAlignment="1">
      <x:alignment vertical="top" wrapText="1"/>
    </x:xf>
    <x:xf numFmtId="0" fontId="66" fillId="6" borderId="0" xfId="0" applyNumberFormat="1" applyFont="1" applyFill="1" applyBorder="1" applyAlignment="1">
      <x:alignment vertical="center" wrapText="1"/>
    </x:xf>
    <x:xf numFmtId="0" fontId="66" fillId="6" borderId="0" xfId="0" applyNumberFormat="1" applyFont="1" applyFill="1" applyBorder="1"/>
    <x:xf numFmtId="0" fontId="66" fillId="15" borderId="0" xfId="0" applyNumberFormat="1" applyFont="1" applyFill="1" applyBorder="1" applyAlignment="1">
      <x:alignment vertical="center" wrapText="1"/>
    </x:xf>
    <x:xf numFmtId="0" fontId="66" fillId="6" borderId="0" xfId="0" applyNumberFormat="1" applyFont="1" applyFill="1" applyBorder="1" applyAlignment="1">
      <x:alignment wrapText="1"/>
    </x:xf>
    <x:xf numFmtId="0" fontId="66" fillId="15" borderId="0" xfId="0" applyNumberFormat="1" applyFont="1" applyFill="1" applyBorder="1" applyAlignment="1">
      <x:alignment vertical="top" wrapText="1"/>
    </x:xf>
    <x:xf numFmtId="202" fontId="66" fillId="280" borderId="0" xfId="0" applyNumberFormat="1" applyFont="1" applyFill="1" applyBorder="1" applyAlignment="1">
      <x:alignment vertical="top" wrapText="1"/>
    </x:xf>
    <x:xf numFmtId="202" fontId="20" fillId="280" borderId="0" xfId="0" applyNumberFormat="1" applyFont="1" applyFill="1" applyBorder="1" applyAlignment="1">
      <x:alignment vertical="top" wrapText="1"/>
    </x:xf>
    <x:xf numFmtId="202" fontId="20" fillId="280" borderId="0" xfId="0" applyNumberFormat="1" applyFont="1" applyFill="1" applyBorder="1" applyAlignment="1">
      <x:alignment vertical="center" wrapText="1"/>
    </x:xf>
    <x:xf numFmtId="203" fontId="66" fillId="281" borderId="0" xfId="0" applyNumberFormat="1" applyFont="1" applyFill="1" applyBorder="1" applyAlignment="1">
      <x:alignment vertical="top" wrapText="1"/>
    </x:xf>
    <x:xf numFmtId="202" fontId="66" fillId="281" borderId="0" xfId="0" applyNumberFormat="1" applyFont="1" applyFill="1" applyBorder="1" applyAlignment="1">
      <x:alignment vertical="top" wrapText="1"/>
    </x:xf>
    <x:xf numFmtId="203" fontId="66" fillId="283" borderId="0" xfId="0" applyNumberFormat="1" applyFont="1" applyFill="1" applyBorder="1" applyAlignment="1">
      <x:alignment vertical="top" wrapText="1"/>
    </x:xf>
    <x:xf numFmtId="202" fontId="66" fillId="283" borderId="0" xfId="0" applyNumberFormat="1" applyFont="1" applyFill="1" applyBorder="1" applyAlignment="1">
      <x:alignment vertical="top" wrapText="1"/>
    </x:xf>
    <x:xf numFmtId="0" fontId="67" fillId="281" borderId="0" xfId="0" applyNumberFormat="1" applyFont="1" applyFill="1" applyBorder="1" applyAlignment="1">
      <x:alignment vertical="top" wrapText="1"/>
    </x:xf>
    <x:xf numFmtId="0" fontId="67" fillId="283" borderId="0" xfId="0" applyNumberFormat="1" applyFont="1" applyFill="1" applyBorder="1" applyAlignment="1">
      <x:alignment vertical="top" wrapText="1"/>
    </x:xf>
    <x:xf numFmtId="0" fontId="66" fillId="290" borderId="0" xfId="0" applyNumberFormat="1" applyFont="1" applyFill="1" applyBorder="1" applyAlignment="1">
      <x:alignment vertical="top" wrapText="1"/>
    </x:xf>
    <x:xf numFmtId="0" fontId="66" fillId="288" borderId="0" xfId="0" applyNumberFormat="1" applyFont="1" applyFill="1" applyBorder="1" applyAlignment="1">
      <x:alignment vertical="top" wrapText="1"/>
    </x:xf>
    <x:xf numFmtId="0" fontId="27" fillId="280" borderId="0" xfId="0" applyNumberFormat="1" applyFont="1" applyFill="1" applyBorder="1" applyAlignment="1">
      <x:alignment vertical="center" wrapText="1"/>
    </x:xf>
    <x:xf numFmtId="0" fontId="25" fillId="280" borderId="0" xfId="0" applyNumberFormat="1" applyFont="1" applyFill="1" applyBorder="1" applyAlignment="1">
      <x:alignment vertical="top" wrapText="1"/>
    </x:xf>
    <x:xf numFmtId="0" fontId="27" fillId="281" borderId="0" xfId="0" applyNumberFormat="1" applyFont="1" applyFill="1" applyBorder="1" applyAlignment="1">
      <x:alignment vertical="top" wrapText="1"/>
    </x:xf>
    <x:xf numFmtId="0" fontId="20" fillId="289" borderId="0" xfId="0" applyNumberFormat="1" applyFont="1" applyFill="1" applyBorder="1" applyAlignment="1">
      <x:alignment vertical="center" wrapText="1"/>
    </x:xf>
    <x:xf numFmtId="0" fontId="25" fillId="289" borderId="0" xfId="0" applyNumberFormat="1" applyFont="1" applyFill="1" applyBorder="1" applyAlignment="1">
      <x:alignment vertical="top" wrapText="1"/>
    </x:xf>
    <x:xf numFmtId="0" fontId="27" fillId="289" borderId="0" xfId="0" applyNumberFormat="1" applyFont="1" applyFill="1" applyBorder="1" applyAlignment="1">
      <x:alignment vertical="top" wrapText="1"/>
    </x:xf>
    <x:xf numFmtId="0" fontId="30" fillId="281" borderId="0" xfId="0" applyNumberFormat="1" applyFont="1" applyFill="1" applyBorder="1" applyAlignment="1">
      <x:alignment vertical="top" wrapText="1"/>
    </x:xf>
    <x:xf numFmtId="0" fontId="26" fillId="281" borderId="0" xfId="0" applyNumberFormat="1" applyFont="1" applyFill="1" applyBorder="1" applyAlignment="1">
      <x:alignment vertical="center" wrapText="1"/>
    </x:xf>
    <x:xf numFmtId="0" fontId="27" fillId="291" borderId="0" xfId="0" applyNumberFormat="1" applyFont="1" applyFill="1" applyBorder="1" applyAlignment="1">
      <x:alignment vertical="top" wrapText="1"/>
    </x:xf>
    <x:xf numFmtId="0" fontId="26" fillId="291" borderId="0" xfId="0" applyNumberFormat="1" applyFont="1" applyFill="1" applyBorder="1" applyAlignment="1">
      <x:alignment vertical="top" wrapText="1"/>
    </x:xf>
    <x:xf numFmtId="0" fontId="26" fillId="291" borderId="0" xfId="0" applyNumberFormat="1" applyFont="1" applyFill="1" applyBorder="1" applyAlignment="1">
      <x:alignment vertical="center" wrapText="1"/>
    </x:xf>
    <x:xf numFmtId="0" fontId="27" fillId="280" borderId="0" xfId="0" applyNumberFormat="1" applyFont="1" applyFill="1" applyBorder="1" applyAlignment="1">
      <x:alignment vertical="top" wrapText="1"/>
    </x:xf>
    <x:xf numFmtId="0" fontId="20" fillId="292" borderId="1" xfId="0" applyNumberFormat="1" applyFont="1" applyFill="1" applyBorder="1" applyAlignment="1">
      <x:alignment horizontal="left" vertical="center" wrapText="1"/>
    </x:xf>
    <x:xf numFmtId="165" fontId="34" fillId="292" borderId="1" xfId="0" applyNumberFormat="1" applyFont="1" applyFill="1" applyBorder="1" applyAlignment="1">
      <x:alignment horizontal="left" vertical="center" wrapText="1"/>
    </x:xf>
    <x:xf numFmtId="166" fontId="34" fillId="292" borderId="1" xfId="0" applyNumberFormat="1" applyFont="1" applyFill="1" applyBorder="1" applyAlignment="1">
      <x:alignment horizontal="left" vertical="center" wrapText="1"/>
    </x:xf>
    <x:xf numFmtId="0" fontId="34" fillId="292" borderId="1" xfId="0" applyNumberFormat="1" applyFont="1" applyFill="1" applyBorder="1" applyAlignment="1">
      <x:alignment horizontal="left" vertical="center" wrapText="1"/>
    </x:xf>
    <x:xf numFmtId="0" fontId="34" fillId="292" borderId="0" xfId="0" applyNumberFormat="1" applyFont="1" applyFill="1" applyBorder="1" applyAlignment="1">
      <x:alignment horizontal="left" vertical="center" wrapText="1"/>
    </x:xf>
    <x:xf numFmtId="167" fontId="34" fillId="292" borderId="1" xfId="0" applyNumberFormat="1" applyFont="1" applyFill="1" applyBorder="1" applyAlignment="1">
      <x:alignment horizontal="left" vertical="center" wrapText="1"/>
    </x:xf>
    <x:xf numFmtId="168" fontId="34" fillId="292" borderId="1" xfId="0" applyNumberFormat="1" applyFont="1" applyFill="1" applyBorder="1" applyAlignment="1">
      <x:alignment horizontal="left" vertical="center" wrapText="1"/>
    </x:xf>
    <x:xf numFmtId="170" fontId="34" fillId="292" borderId="1" xfId="0" applyNumberFormat="1" applyFont="1" applyFill="1" applyBorder="1" applyAlignment="1">
      <x:alignment horizontal="left" vertical="center" wrapText="1"/>
    </x:xf>
    <x:xf numFmtId="0" fontId="35" fillId="292" borderId="6" xfId="0" applyNumberFormat="1" applyFont="1" applyFill="1" applyBorder="1" applyAlignment="1">
      <x:alignment horizontal="left" vertical="center" wrapText="1"/>
    </x:xf>
    <x:xf numFmtId="0" fontId="35" fillId="292" borderId="7" xfId="0" applyNumberFormat="1" applyFont="1" applyFill="1" applyBorder="1" applyAlignment="1">
      <x:alignment horizontal="left" vertical="center" wrapText="1"/>
    </x:xf>
    <x:xf numFmtId="0" fontId="35" fillId="292" borderId="8" xfId="0" applyNumberFormat="1" applyFont="1" applyFill="1" applyBorder="1" applyAlignment="1">
      <x:alignment horizontal="left" vertical="center" wrapText="1"/>
    </x:xf>
    <x:xf numFmtId="0" fontId="35" fillId="292" borderId="9" xfId="0" applyNumberFormat="1" applyFont="1" applyFill="1" applyBorder="1" applyAlignment="1">
      <x:alignment horizontal="left" vertical="center" wrapText="1"/>
    </x:xf>
    <x:xf numFmtId="0" fontId="35" fillId="292" borderId="0" xfId="0" applyNumberFormat="1" applyFont="1" applyFill="1" applyBorder="1" applyAlignment="1">
      <x:alignment horizontal="left" vertical="center" wrapText="1"/>
    </x:xf>
    <x:xf numFmtId="0" fontId="35" fillId="292" borderId="10" xfId="0" applyNumberFormat="1" applyFont="1" applyFill="1" applyBorder="1" applyAlignment="1">
      <x:alignment horizontal="left" vertical="center" wrapText="1"/>
    </x:xf>
    <x:xf numFmtId="0" fontId="35" fillId="292" borderId="11" xfId="0" applyNumberFormat="1" applyFont="1" applyFill="1" applyBorder="1" applyAlignment="1">
      <x:alignment horizontal="left" vertical="center" wrapText="1"/>
    </x:xf>
    <x:xf numFmtId="0" fontId="35" fillId="292" borderId="12" xfId="0" applyNumberFormat="1" applyFont="1" applyFill="1" applyBorder="1" applyAlignment="1">
      <x:alignment horizontal="left" vertical="center" wrapText="1"/>
    </x:xf>
    <x:xf numFmtId="0" fontId="35" fillId="292" borderId="13" xfId="0" applyNumberFormat="1" applyFont="1" applyFill="1" applyBorder="1" applyAlignment="1">
      <x:alignment horizontal="left" vertical="center" wrapText="1"/>
    </x:xf>
    <x:xf numFmtId="0" fontId="36" fillId="280" borderId="9" xfId="0" applyNumberFormat="1" applyFont="1" applyFill="1" applyBorder="1" applyAlignment="1">
      <x:alignment horizontal="left" vertical="center" wrapText="1"/>
    </x:xf>
    <x:xf numFmtId="0" fontId="36" fillId="280" borderId="0" xfId="0" applyNumberFormat="1" applyFont="1" applyFill="1" applyBorder="1" applyAlignment="1">
      <x:alignment horizontal="left" vertical="center" wrapText="1"/>
    </x:xf>
    <x:xf numFmtId="0" fontId="36" fillId="280" borderId="10" xfId="0" applyNumberFormat="1" applyFont="1" applyFill="1" applyBorder="1" applyAlignment="1">
      <x:alignment horizontal="left" vertical="center" wrapText="1"/>
    </x:xf>
    <x:xf numFmtId="0" fontId="36" fillId="280" borderId="11" xfId="0" applyNumberFormat="1" applyFont="1" applyFill="1" applyBorder="1" applyAlignment="1">
      <x:alignment horizontal="left" vertical="center" wrapText="1"/>
    </x:xf>
    <x:xf numFmtId="0" fontId="36" fillId="280" borderId="12" xfId="0" applyNumberFormat="1" applyFont="1" applyFill="1" applyBorder="1" applyAlignment="1">
      <x:alignment horizontal="left" vertical="center" wrapText="1"/>
    </x:xf>
    <x:xf numFmtId="0" fontId="36" fillId="280" borderId="13" xfId="0" applyNumberFormat="1" applyFont="1" applyFill="1" applyBorder="1" applyAlignment="1">
      <x:alignment horizontal="left" vertical="center" wrapText="1"/>
    </x:xf>
    <x:xf numFmtId="0" fontId="52" fillId="291" borderId="0" xfId="0" applyNumberFormat="1" applyFont="1" applyFill="1" applyBorder="1" applyAlignment="1">
      <x:alignment vertical="center" wrapText="1"/>
    </x:xf>
    <x:xf numFmtId="0" fontId="34" fillId="291" borderId="0" xfId="0" applyNumberFormat="1" applyFont="1" applyFill="1" applyBorder="1" applyAlignment="1">
      <x:alignment vertical="center" wrapText="1"/>
    </x:xf>
    <x:xf numFmtId="0" fontId="29" fillId="291" borderId="0" xfId="0" applyNumberFormat="1" applyFont="1" applyFill="1" applyBorder="1" applyAlignment="1">
      <x:alignment vertical="center" wrapText="1"/>
    </x:xf>
    <x:xf numFmtId="0" fontId="20" fillId="291" borderId="0" xfId="0" applyNumberFormat="1" applyFont="1" applyFill="1" applyBorder="1" applyAlignment="1">
      <x:alignment vertical="center" wrapText="1"/>
    </x:xf>
    <x:xf numFmtId="0" fontId="53" fillId="291" borderId="0" xfId="0" applyNumberFormat="1" applyFont="1" applyFill="1" applyBorder="1" applyAlignment="1">
      <x:alignment horizontal="center" vertical="center" wrapText="1"/>
    </x:xf>
    <x:xf numFmtId="0" fontId="51" fillId="291" borderId="0" xfId="0" applyNumberFormat="1" applyFont="1" applyFill="1" applyBorder="1" applyAlignment="1">
      <x:alignment vertical="center" wrapText="1"/>
    </x:xf>
    <x:xf numFmtId="0" fontId="35" fillId="291" borderId="0" xfId="0" applyNumberFormat="1" applyFont="1" applyFill="1" applyBorder="1" applyAlignment="1">
      <x:alignment vertical="center" wrapText="1"/>
    </x:xf>
    <x:xf numFmtId="0" fontId="29" fillId="291" borderId="0" xfId="0" applyNumberFormat="1" applyFont="1" applyFill="1" applyBorder="1" applyAlignment="1">
      <x:alignment horizontal="center" vertical="center" wrapText="1"/>
    </x:xf>
    <x:xf numFmtId="0" fontId="29" fillId="280" borderId="0" xfId="0" applyNumberFormat="1" applyFont="1" applyFill="1" applyBorder="1" applyAlignment="1">
      <x:alignment vertical="center" wrapText="1"/>
    </x:xf>
    <x:xf numFmtId="0" fontId="52" fillId="280" borderId="0" xfId="0" applyNumberFormat="1" applyFont="1" applyFill="1" applyBorder="1" applyAlignment="1">
      <x:alignment vertical="center" wrapText="1"/>
    </x:xf>
    <x:xf numFmtId="0" fontId="29" fillId="292" borderId="0" xfId="0" applyNumberFormat="1" applyFont="1" applyFill="1" applyBorder="1" applyAlignment="1">
      <x:alignment vertical="center" wrapText="1"/>
    </x:xf>
    <x:xf numFmtId="0" fontId="29" fillId="292" borderId="0" xfId="0" applyNumberFormat="1" applyFont="1" applyFill="1" applyBorder="1" applyAlignment="1">
      <x:alignment horizontal="center" vertical="center" wrapText="1"/>
    </x:xf>
    <x:xf numFmtId="0" fontId="53" fillId="292" borderId="0" xfId="0" applyNumberFormat="1" applyFont="1" applyFill="1" applyBorder="1" applyAlignment="1">
      <x:alignment horizontal="center" vertical="center" wrapText="1"/>
    </x:xf>
    <x:xf numFmtId="0" fontId="29" fillId="280" borderId="0" xfId="0" applyNumberFormat="1" applyFont="1" applyFill="1" applyBorder="1" applyAlignment="1">
      <x:alignment horizontal="center" vertical="center" wrapText="1"/>
    </x:xf>
    <x:xf numFmtId="0" fontId="53" fillId="280" borderId="0" xfId="0" applyNumberFormat="1" applyFont="1" applyFill="1" applyBorder="1" applyAlignment="1">
      <x:alignment horizontal="center" vertical="center" wrapText="1"/>
    </x:xf>
    <x:xf numFmtId="0" fontId="35" fillId="280" borderId="0" xfId="0" applyNumberFormat="1" applyFont="1" applyFill="1" applyBorder="1" applyAlignment="1">
      <x:alignment vertical="center" wrapText="1"/>
    </x:xf>
    <x:xf numFmtId="0" fontId="25" fillId="289" borderId="0" xfId="0" applyNumberFormat="1" applyFont="1" applyFill="1" applyBorder="1" applyAlignment="1">
      <x:alignment wrapText="1"/>
    </x:xf>
    <x:xf numFmtId="0" fontId="23" fillId="291" borderId="0" xfId="0" applyNumberFormat="1" applyFont="1" applyFill="1" applyBorder="1" applyAlignment="1">
      <x:alignment horizontal="center" vertical="center" wrapText="1"/>
    </x:xf>
    <x:xf numFmtId="0" fontId="23" fillId="292" borderId="0" xfId="0" applyNumberFormat="1" applyFont="1" applyFill="1" applyBorder="1" applyAlignment="1">
      <x:alignment horizontal="center" vertical="center" wrapText="1"/>
    </x:xf>
    <x:xf numFmtId="0" fontId="34" fillId="292" borderId="0" xfId="0" applyNumberFormat="1" applyFont="1" applyFill="1" applyBorder="1" applyAlignment="1">
      <x:alignment vertical="center" wrapText="1"/>
    </x:xf>
    <x:xf numFmtId="0" fontId="23" fillId="280" borderId="0" xfId="0" applyNumberFormat="1" applyFont="1" applyFill="1" applyBorder="1" applyAlignment="1">
      <x:alignment horizontal="center" vertical="center" wrapText="1"/>
    </x:xf>
    <x:xf numFmtId="0" fontId="34" fillId="280" borderId="0" xfId="0" applyNumberFormat="1" applyFont="1" applyFill="1" applyBorder="1" applyAlignment="1">
      <x:alignment vertical="center" wrapText="1"/>
    </x:xf>
    <x:xf numFmtId="204" fontId="25" fillId="281" borderId="0" xfId="0" applyNumberFormat="1" applyFont="1" applyFill="1" applyBorder="1" applyAlignment="1">
      <x:alignment vertical="top" wrapText="1"/>
    </x:xf>
    <x:xf numFmtId="208" fontId="25" fillId="281" borderId="0" xfId="0" applyNumberFormat="1" applyFont="1" applyFill="1" applyBorder="1" applyAlignment="1">
      <x:alignment vertical="top" wrapText="1"/>
    </x:xf>
    <x:xf numFmtId="204" fontId="25" fillId="283" borderId="0" xfId="0" applyNumberFormat="1" applyFont="1" applyFill="1" applyBorder="1" applyAlignment="1">
      <x:alignment vertical="top" wrapText="1"/>
    </x:xf>
    <x:xf numFmtId="208" fontId="25" fillId="283" borderId="0" xfId="0" applyNumberFormat="1" applyFont="1" applyFill="1" applyBorder="1" applyAlignment="1">
      <x:alignment vertical="top" wrapText="1"/>
    </x:xf>
    <x:xf numFmtId="0" fontId="20" fillId="292" borderId="0" xfId="0" applyNumberFormat="1" applyFont="1" applyFill="1" applyBorder="1" applyAlignment="1">
      <x:alignment vertical="center" wrapText="1"/>
    </x:xf>
    <x:xf numFmtId="0" fontId="35" fillId="292" borderId="0" xfId="0" applyNumberFormat="1" applyFont="1" applyFill="1" applyBorder="1" applyAlignment="1">
      <x:alignment vertical="center" wrapText="1"/>
    </x:xf>
    <x:xf numFmtId="0" fontId="68" fillId="16" borderId="0" xfId="0" applyNumberFormat="1" applyFont="1" applyFill="1" applyBorder="1" applyAlignment="1">
      <x:alignment vertical="center" wrapText="1"/>
    </x:xf>
    <x:xf numFmtId="0" fontId="68" fillId="6" borderId="0" xfId="0" applyNumberFormat="1" applyFont="1" applyFill="1" applyBorder="1" applyAlignment="1">
      <x:alignment vertical="top" wrapText="1"/>
    </x:xf>
    <x:xf numFmtId="0" fontId="68" fillId="17" borderId="0" xfId="0" applyNumberFormat="1" applyFont="1" applyFill="1" applyBorder="1" applyAlignment="1">
      <x:alignment vertical="top" wrapText="1"/>
    </x:xf>
    <x:xf numFmtId="0" fontId="68" fillId="16" borderId="0" xfId="0" applyNumberFormat="1" applyFont="1" applyFill="1" applyBorder="1" applyAlignment="1">
      <x:alignment vertical="top" wrapText="1"/>
    </x:xf>
    <x:xf numFmtId="0" fontId="68" fillId="293" borderId="0" xfId="0" applyNumberFormat="1" applyFont="1" applyFill="1" applyBorder="1" applyAlignment="1">
      <x:alignment vertical="top" wrapText="1"/>
    </x:xf>
    <x:xf numFmtId="0" fontId="20" fillId="293" borderId="0" xfId="0" applyNumberFormat="1" applyFont="1" applyFill="1" applyBorder="1" applyAlignment="1">
      <x:alignment vertical="top" wrapText="1"/>
    </x:xf>
    <x:xf numFmtId="0" fontId="20" fillId="293" borderId="0" xfId="0" applyNumberFormat="1" applyFont="1" applyFill="1" applyBorder="1" applyAlignment="1">
      <x:alignment vertical="center" wrapText="1"/>
    </x:xf>
    <x:xf numFmtId="0" fontId="25" fillId="294" borderId="0" xfId="0" applyNumberFormat="1" applyFont="1" applyFill="1" applyBorder="1" applyAlignment="1">
      <x:alignment vertical="top" wrapText="1"/>
    </x:xf>
    <x:xf numFmtId="201" fontId="25" fillId="294" borderId="0" xfId="0" applyNumberFormat="1" applyFont="1" applyFill="1" applyBorder="1" applyAlignment="1">
      <x:alignment vertical="top" wrapText="1"/>
    </x:xf>
    <x:xf numFmtId="202" fontId="25" fillId="294" borderId="0" xfId="0" applyNumberFormat="1" applyFont="1" applyFill="1" applyBorder="1" applyAlignment="1">
      <x:alignment vertical="top" wrapText="1"/>
    </x:xf>
    <x:xf numFmtId="0" fontId="28" fillId="294" borderId="0" xfId="0" applyNumberFormat="1" applyFont="1" applyFill="1" applyBorder="1" applyAlignment="1">
      <x:alignment vertical="top" wrapText="1"/>
    </x:xf>
    <x:xf numFmtId="0" fontId="68" fillId="294" borderId="0" xfId="0" applyNumberFormat="1" applyFont="1" applyFill="1" applyBorder="1" applyAlignment="1">
      <x:alignment vertical="top" wrapText="1"/>
    </x:xf>
    <x:xf numFmtId="0" fontId="25" fillId="295" borderId="0" xfId="0" applyNumberFormat="1" applyFont="1" applyFill="1" applyBorder="1" applyAlignment="1">
      <x:alignment vertical="top" wrapText="1"/>
    </x:xf>
    <x:xf numFmtId="0" fontId="25" fillId="296" borderId="0" xfId="0" applyNumberFormat="1" applyFont="1" applyFill="1" applyBorder="1" applyAlignment="1">
      <x:alignment vertical="top" wrapText="1"/>
    </x:xf>
    <x:xf numFmtId="201" fontId="25" fillId="296" borderId="0" xfId="0" applyNumberFormat="1" applyFont="1" applyFill="1" applyBorder="1" applyAlignment="1">
      <x:alignment vertical="top" wrapText="1"/>
    </x:xf>
    <x:xf numFmtId="202" fontId="25" fillId="296" borderId="0" xfId="0" applyNumberFormat="1" applyFont="1" applyFill="1" applyBorder="1" applyAlignment="1">
      <x:alignment vertical="top" wrapText="1"/>
    </x:xf>
    <x:xf numFmtId="0" fontId="28" fillId="296" borderId="0" xfId="0" applyNumberFormat="1" applyFont="1" applyFill="1" applyBorder="1" applyAlignment="1">
      <x:alignment vertical="top" wrapText="1"/>
    </x:xf>
    <x:xf numFmtId="0" fontId="68" fillId="296" borderId="0" xfId="0" applyNumberFormat="1" applyFont="1" applyFill="1" applyBorder="1" applyAlignment="1">
      <x:alignment vertical="top" wrapText="1"/>
    </x:xf>
    <x:xf numFmtId="0" fontId="25" fillId="297" borderId="0" xfId="0" applyNumberFormat="1" applyFont="1" applyFill="1" applyBorder="1" applyAlignment="1">
      <x:alignment vertical="top" wrapText="1"/>
    </x:xf>
    <x:xf numFmtId="0" fontId="25" fillId="298" borderId="0" xfId="0" applyNumberFormat="1" applyFont="1" applyFill="1" applyBorder="1" applyAlignment="1">
      <x:alignment vertical="top" wrapText="1"/>
    </x:xf>
    <x:xf numFmtId="0" fontId="25" fillId="299" borderId="0" xfId="0" applyNumberFormat="1" applyFont="1" applyFill="1" applyBorder="1" applyAlignment="1">
      <x:alignment vertical="top" wrapText="1"/>
    </x:xf>
    <x:xf numFmtId="0" fontId="25" fillId="300" borderId="0" xfId="0" applyNumberFormat="1" applyFont="1" applyFill="1" applyBorder="1" applyAlignment="1">
      <x:alignment vertical="top" wrapText="1"/>
    </x:xf>
    <x:xf numFmtId="0" fontId="25" fillId="301" borderId="0" xfId="0" applyNumberFormat="1" applyFont="1" applyFill="1" applyBorder="1" applyAlignment="1">
      <x:alignment vertical="top" wrapText="1"/>
    </x:xf>
    <x:xf numFmtId="202" fontId="20" fillId="294" borderId="0" xfId="0" applyNumberFormat="1" applyFont="1" applyFill="1" applyBorder="1" applyAlignment="1">
      <x:alignment vertical="center" wrapText="1"/>
    </x:xf>
    <x:xf numFmtId="0" fontId="27" fillId="302" borderId="0" xfId="0" applyNumberFormat="1" applyFont="1" applyFill="1" applyBorder="1" applyAlignment="1">
      <x:alignment vertical="center" wrapText="1"/>
    </x:xf>
    <x:xf numFmtId="0" fontId="27" fillId="294" borderId="0" xfId="0" applyNumberFormat="1" applyFont="1" applyFill="1" applyBorder="1" applyAlignment="1">
      <x:alignment vertical="center" wrapText="1"/>
    </x:xf>
    <x:xf numFmtId="0" fontId="0" fillId="294" borderId="0" xfId="0" applyNumberFormat="1" applyFont="1" applyFill="1" applyBorder="1"/>
    <x:xf numFmtId="0" fontId="20" fillId="294" borderId="0" xfId="0" applyNumberFormat="1" applyFont="1" applyFill="1" applyBorder="1" applyAlignment="1">
      <x:alignment vertical="center" wrapText="1"/>
    </x:xf>
    <x:xf numFmtId="0" fontId="30" fillId="294" borderId="0" xfId="0" applyNumberFormat="1" applyFont="1" applyFill="1" applyBorder="1" applyAlignment="1">
      <x:alignment vertical="center" wrapText="1"/>
    </x:xf>
    <x:xf numFmtId="202" fontId="68" fillId="6" borderId="0" xfId="0" applyNumberFormat="1" applyFont="1" applyFill="1" applyBorder="1" applyAlignment="1">
      <x:alignment vertical="center" wrapText="1"/>
    </x:xf>
    <x:xf numFmtId="203" fontId="68" fillId="6" borderId="0" xfId="0" applyNumberFormat="1" applyFont="1" applyFill="1" applyBorder="1" applyAlignment="1">
      <x:alignment vertical="top" wrapText="1"/>
    </x:xf>
    <x:xf numFmtId="202" fontId="68" fillId="6" borderId="0" xfId="0" applyNumberFormat="1" applyFont="1" applyFill="1" applyBorder="1" applyAlignment="1">
      <x:alignment vertical="top" wrapText="1"/>
    </x:xf>
    <x:xf numFmtId="0" fontId="68" fillId="30" borderId="0" xfId="0" applyNumberFormat="1" applyFont="1" applyFill="1" applyBorder="1" applyAlignment="1">
      <x:alignment vertical="top" wrapText="1"/>
    </x:xf>
    <x:xf numFmtId="0" fontId="68" fillId="18" borderId="0" xfId="0" applyNumberFormat="1" applyFont="1" applyFill="1" applyBorder="1" applyAlignment="1">
      <x:alignment vertical="top" wrapText="1"/>
    </x:xf>
    <x:xf numFmtId="203" fontId="68" fillId="17" borderId="0" xfId="0" applyNumberFormat="1" applyFont="1" applyFill="1" applyBorder="1" applyAlignment="1">
      <x:alignment vertical="top" wrapText="1"/>
    </x:xf>
    <x:xf numFmtId="202" fontId="68" fillId="293" borderId="0" xfId="0" applyNumberFormat="1" applyFont="1" applyFill="1" applyBorder="1" applyAlignment="1">
      <x:alignment vertical="top" wrapText="1"/>
    </x:xf>
    <x:xf numFmtId="202" fontId="20" fillId="293" borderId="0" xfId="0" applyNumberFormat="1" applyFont="1" applyFill="1" applyBorder="1" applyAlignment="1">
      <x:alignment vertical="top" wrapText="1"/>
    </x:xf>
    <x:xf numFmtId="202" fontId="20" fillId="293" borderId="0" xfId="0" applyNumberFormat="1" applyFont="1" applyFill="1" applyBorder="1" applyAlignment="1">
      <x:alignment vertical="center" wrapText="1"/>
    </x:xf>
    <x:xf numFmtId="203" fontId="68" fillId="294" borderId="0" xfId="0" applyNumberFormat="1" applyFont="1" applyFill="1" applyBorder="1" applyAlignment="1">
      <x:alignment vertical="top" wrapText="1"/>
    </x:xf>
    <x:xf numFmtId="202" fontId="68" fillId="294" borderId="0" xfId="0" applyNumberFormat="1" applyFont="1" applyFill="1" applyBorder="1" applyAlignment="1">
      <x:alignment vertical="top" wrapText="1"/>
    </x:xf>
    <x:xf numFmtId="203" fontId="68" fillId="296" borderId="0" xfId="0" applyNumberFormat="1" applyFont="1" applyFill="1" applyBorder="1" applyAlignment="1">
      <x:alignment vertical="top" wrapText="1"/>
    </x:xf>
    <x:xf numFmtId="202" fontId="68" fillId="296" borderId="0" xfId="0" applyNumberFormat="1" applyFont="1" applyFill="1" applyBorder="1" applyAlignment="1">
      <x:alignment vertical="top" wrapText="1"/>
    </x:xf>
    <x:xf numFmtId="0" fontId="69" fillId="294" borderId="0" xfId="0" applyNumberFormat="1" applyFont="1" applyFill="1" applyBorder="1" applyAlignment="1">
      <x:alignment vertical="top" wrapText="1"/>
    </x:xf>
    <x:xf numFmtId="0" fontId="69" fillId="296" borderId="0" xfId="0" applyNumberFormat="1" applyFont="1" applyFill="1" applyBorder="1" applyAlignment="1">
      <x:alignment vertical="top" wrapText="1"/>
    </x:xf>
    <x:xf numFmtId="0" fontId="68" fillId="303" borderId="0" xfId="0" applyNumberFormat="1" applyFont="1" applyFill="1" applyBorder="1" applyAlignment="1">
      <x:alignment vertical="top" wrapText="1"/>
    </x:xf>
    <x:xf numFmtId="0" fontId="68" fillId="301" borderId="0" xfId="0" applyNumberFormat="1" applyFont="1" applyFill="1" applyBorder="1" applyAlignment="1">
      <x:alignment vertical="top" wrapText="1"/>
    </x:xf>
    <x:xf numFmtId="0" fontId="26" fillId="294" borderId="0" xfId="0" applyNumberFormat="1" applyFont="1" applyFill="1" applyBorder="1" applyAlignment="1">
      <x:alignment vertical="center" wrapText="1"/>
    </x:xf>
    <x:xf numFmtId="0" fontId="27" fillId="294" borderId="0" xfId="0" applyNumberFormat="1" applyFont="1" applyFill="1" applyBorder="1" applyAlignment="1">
      <x:alignment vertical="top" wrapText="1"/>
    </x:xf>
    <x:xf numFmtId="0" fontId="27" fillId="304" borderId="0" xfId="0" applyNumberFormat="1" applyFont="1" applyFill="1" applyBorder="1" applyAlignment="1">
      <x:alignment vertical="top" wrapText="1"/>
    </x:xf>
    <x:xf numFmtId="0" fontId="26" fillId="304" borderId="0" xfId="0" applyNumberFormat="1" applyFont="1" applyFill="1" applyBorder="1" applyAlignment="1">
      <x:alignment vertical="top" wrapText="1"/>
    </x:xf>
    <x:xf numFmtId="0" fontId="26" fillId="304" borderId="0" xfId="0" applyNumberFormat="1" applyFont="1" applyFill="1" applyBorder="1" applyAlignment="1">
      <x:alignment vertical="center" wrapText="1"/>
    </x:xf>
    <x:xf numFmtId="0" fontId="27" fillId="302" borderId="0" xfId="0" applyNumberFormat="1" applyFont="1" applyFill="1" applyBorder="1" applyAlignment="1">
      <x:alignment vertical="top" wrapText="1"/>
    </x:xf>
    <x:xf numFmtId="0" fontId="27" fillId="293" borderId="0" xfId="0" applyNumberFormat="1" applyFont="1" applyFill="1" applyBorder="1" applyAlignment="1">
      <x:alignment vertical="top" wrapText="1"/>
    </x:xf>
    <x:xf numFmtId="0" fontId="20" fillId="305" borderId="1" xfId="0" applyNumberFormat="1" applyFont="1" applyFill="1" applyBorder="1" applyAlignment="1">
      <x:alignment horizontal="left" vertical="center" wrapText="1"/>
    </x:xf>
    <x:xf numFmtId="165" fontId="34" fillId="305" borderId="1" xfId="0" applyNumberFormat="1" applyFont="1" applyFill="1" applyBorder="1" applyAlignment="1">
      <x:alignment horizontal="left" vertical="center" wrapText="1"/>
    </x:xf>
    <x:xf numFmtId="166" fontId="34" fillId="305" borderId="1" xfId="0" applyNumberFormat="1" applyFont="1" applyFill="1" applyBorder="1" applyAlignment="1">
      <x:alignment horizontal="left" vertical="center" wrapText="1"/>
    </x:xf>
    <x:xf numFmtId="0" fontId="34" fillId="305" borderId="1" xfId="0" applyNumberFormat="1" applyFont="1" applyFill="1" applyBorder="1" applyAlignment="1">
      <x:alignment horizontal="left" vertical="center" wrapText="1"/>
    </x:xf>
    <x:xf numFmtId="0" fontId="34" fillId="305" borderId="0" xfId="0" applyNumberFormat="1" applyFont="1" applyFill="1" applyBorder="1" applyAlignment="1">
      <x:alignment horizontal="left" vertical="center" wrapText="1"/>
    </x:xf>
    <x:xf numFmtId="167" fontId="34" fillId="305" borderId="1" xfId="0" applyNumberFormat="1" applyFont="1" applyFill="1" applyBorder="1" applyAlignment="1">
      <x:alignment horizontal="left" vertical="center" wrapText="1"/>
    </x:xf>
    <x:xf numFmtId="168" fontId="34" fillId="305" borderId="1" xfId="0" applyNumberFormat="1" applyFont="1" applyFill="1" applyBorder="1" applyAlignment="1">
      <x:alignment horizontal="left" vertical="center" wrapText="1"/>
    </x:xf>
    <x:xf numFmtId="170" fontId="34" fillId="305" borderId="1" xfId="0" applyNumberFormat="1" applyFont="1" applyFill="1" applyBorder="1" applyAlignment="1">
      <x:alignment horizontal="left" vertical="center" wrapText="1"/>
    </x:xf>
    <x:xf numFmtId="0" fontId="35" fillId="305" borderId="6" xfId="0" applyNumberFormat="1" applyFont="1" applyFill="1" applyBorder="1" applyAlignment="1">
      <x:alignment horizontal="left" vertical="center" wrapText="1"/>
    </x:xf>
    <x:xf numFmtId="0" fontId="35" fillId="305" borderId="7" xfId="0" applyNumberFormat="1" applyFont="1" applyFill="1" applyBorder="1" applyAlignment="1">
      <x:alignment horizontal="left" vertical="center" wrapText="1"/>
    </x:xf>
    <x:xf numFmtId="0" fontId="35" fillId="305" borderId="8" xfId="0" applyNumberFormat="1" applyFont="1" applyFill="1" applyBorder="1" applyAlignment="1">
      <x:alignment horizontal="left" vertical="center" wrapText="1"/>
    </x:xf>
    <x:xf numFmtId="0" fontId="35" fillId="305" borderId="9" xfId="0" applyNumberFormat="1" applyFont="1" applyFill="1" applyBorder="1" applyAlignment="1">
      <x:alignment horizontal="left" vertical="center" wrapText="1"/>
    </x:xf>
    <x:xf numFmtId="0" fontId="35" fillId="305" borderId="0" xfId="0" applyNumberFormat="1" applyFont="1" applyFill="1" applyBorder="1" applyAlignment="1">
      <x:alignment horizontal="left" vertical="center" wrapText="1"/>
    </x:xf>
    <x:xf numFmtId="0" fontId="35" fillId="305" borderId="10" xfId="0" applyNumberFormat="1" applyFont="1" applyFill="1" applyBorder="1" applyAlignment="1">
      <x:alignment horizontal="left" vertical="center" wrapText="1"/>
    </x:xf>
    <x:xf numFmtId="0" fontId="35" fillId="305" borderId="11" xfId="0" applyNumberFormat="1" applyFont="1" applyFill="1" applyBorder="1" applyAlignment="1">
      <x:alignment horizontal="left" vertical="center" wrapText="1"/>
    </x:xf>
    <x:xf numFmtId="0" fontId="35" fillId="305" borderId="12" xfId="0" applyNumberFormat="1" applyFont="1" applyFill="1" applyBorder="1" applyAlignment="1">
      <x:alignment horizontal="left" vertical="center" wrapText="1"/>
    </x:xf>
    <x:xf numFmtId="0" fontId="35" fillId="305" borderId="13" xfId="0" applyNumberFormat="1" applyFont="1" applyFill="1" applyBorder="1" applyAlignment="1">
      <x:alignment horizontal="left" vertical="center" wrapText="1"/>
    </x:xf>
    <x:xf numFmtId="0" fontId="36" fillId="293" borderId="9" xfId="0" applyNumberFormat="1" applyFont="1" applyFill="1" applyBorder="1" applyAlignment="1">
      <x:alignment horizontal="left" vertical="center" wrapText="1"/>
    </x:xf>
    <x:xf numFmtId="0" fontId="36" fillId="293" borderId="0" xfId="0" applyNumberFormat="1" applyFont="1" applyFill="1" applyBorder="1" applyAlignment="1">
      <x:alignment horizontal="left" vertical="center" wrapText="1"/>
    </x:xf>
    <x:xf numFmtId="0" fontId="36" fillId="293" borderId="10" xfId="0" applyNumberFormat="1" applyFont="1" applyFill="1" applyBorder="1" applyAlignment="1">
      <x:alignment horizontal="left" vertical="center" wrapText="1"/>
    </x:xf>
    <x:xf numFmtId="0" fontId="36" fillId="293" borderId="11" xfId="0" applyNumberFormat="1" applyFont="1" applyFill="1" applyBorder="1" applyAlignment="1">
      <x:alignment horizontal="left" vertical="center" wrapText="1"/>
    </x:xf>
    <x:xf numFmtId="0" fontId="36" fillId="293" borderId="12" xfId="0" applyNumberFormat="1" applyFont="1" applyFill="1" applyBorder="1" applyAlignment="1">
      <x:alignment horizontal="left" vertical="center" wrapText="1"/>
    </x:xf>
    <x:xf numFmtId="0" fontId="36" fillId="293" borderId="13" xfId="0" applyNumberFormat="1" applyFont="1" applyFill="1" applyBorder="1" applyAlignment="1">
      <x:alignment horizontal="left" vertical="center" wrapText="1"/>
    </x:xf>
    <x:xf numFmtId="0" fontId="27" fillId="293" borderId="0" xfId="0" applyNumberFormat="1" applyFont="1" applyFill="1" applyBorder="1" applyAlignment="1">
      <x:alignment vertical="center" wrapText="1"/>
    </x:xf>
    <x:xf numFmtId="0" fontId="52" fillId="304" borderId="0" xfId="0" applyNumberFormat="1" applyFont="1" applyFill="1" applyBorder="1" applyAlignment="1">
      <x:alignment vertical="center" wrapText="1"/>
    </x:xf>
    <x:xf numFmtId="0" fontId="34" fillId="304" borderId="0" xfId="0" applyNumberFormat="1" applyFont="1" applyFill="1" applyBorder="1" applyAlignment="1">
      <x:alignment vertical="center" wrapText="1"/>
    </x:xf>
    <x:xf numFmtId="0" fontId="29" fillId="304" borderId="0" xfId="0" applyNumberFormat="1" applyFont="1" applyFill="1" applyBorder="1" applyAlignment="1">
      <x:alignment vertical="center" wrapText="1"/>
    </x:xf>
    <x:xf numFmtId="0" fontId="20" fillId="304" borderId="0" xfId="0" applyNumberFormat="1" applyFont="1" applyFill="1" applyBorder="1" applyAlignment="1">
      <x:alignment vertical="center" wrapText="1"/>
    </x:xf>
    <x:xf numFmtId="0" fontId="53" fillId="304" borderId="0" xfId="0" applyNumberFormat="1" applyFont="1" applyFill="1" applyBorder="1" applyAlignment="1">
      <x:alignment horizontal="center" vertical="center" wrapText="1"/>
    </x:xf>
    <x:xf numFmtId="0" fontId="51" fillId="304" borderId="0" xfId="0" applyNumberFormat="1" applyFont="1" applyFill="1" applyBorder="1" applyAlignment="1">
      <x:alignment vertical="center" wrapText="1"/>
    </x:xf>
    <x:xf numFmtId="0" fontId="35" fillId="304" borderId="0" xfId="0" applyNumberFormat="1" applyFont="1" applyFill="1" applyBorder="1" applyAlignment="1">
      <x:alignment vertical="center" wrapText="1"/>
    </x:xf>
    <x:xf numFmtId="0" fontId="29" fillId="304" borderId="0" xfId="0" applyNumberFormat="1" applyFont="1" applyFill="1" applyBorder="1" applyAlignment="1">
      <x:alignment horizontal="center" vertical="center" wrapText="1"/>
    </x:xf>
    <x:xf numFmtId="0" fontId="29" fillId="293" borderId="0" xfId="0" applyNumberFormat="1" applyFont="1" applyFill="1" applyBorder="1" applyAlignment="1">
      <x:alignment vertical="center" wrapText="1"/>
    </x:xf>
    <x:xf numFmtId="0" fontId="52" fillId="293" borderId="0" xfId="0" applyNumberFormat="1" applyFont="1" applyFill="1" applyBorder="1" applyAlignment="1">
      <x:alignment vertical="center" wrapText="1"/>
    </x:xf>
    <x:xf numFmtId="0" fontId="29" fillId="305" borderId="0" xfId="0" applyNumberFormat="1" applyFont="1" applyFill="1" applyBorder="1" applyAlignment="1">
      <x:alignment vertical="center" wrapText="1"/>
    </x:xf>
    <x:xf numFmtId="0" fontId="29" fillId="305" borderId="0" xfId="0" applyNumberFormat="1" applyFont="1" applyFill="1" applyBorder="1" applyAlignment="1">
      <x:alignment horizontal="center" vertical="center" wrapText="1"/>
    </x:xf>
    <x:xf numFmtId="0" fontId="53" fillId="305" borderId="0" xfId="0" applyNumberFormat="1" applyFont="1" applyFill="1" applyBorder="1" applyAlignment="1">
      <x:alignment horizontal="center" vertical="center" wrapText="1"/>
    </x:xf>
    <x:xf numFmtId="0" fontId="29" fillId="293" borderId="0" xfId="0" applyNumberFormat="1" applyFont="1" applyFill="1" applyBorder="1" applyAlignment="1">
      <x:alignment horizontal="center" vertical="center" wrapText="1"/>
    </x:xf>
    <x:xf numFmtId="0" fontId="53" fillId="293" borderId="0" xfId="0" applyNumberFormat="1" applyFont="1" applyFill="1" applyBorder="1" applyAlignment="1">
      <x:alignment horizontal="center" vertical="center" wrapText="1"/>
    </x:xf>
    <x:xf numFmtId="0" fontId="35" fillId="293" borderId="0" xfId="0" applyNumberFormat="1" applyFont="1" applyFill="1" applyBorder="1" applyAlignment="1">
      <x:alignment vertical="center" wrapText="1"/>
    </x:xf>
    <x:xf numFmtId="0" fontId="25" fillId="302" borderId="0" xfId="0" applyNumberFormat="1" applyFont="1" applyFill="1" applyBorder="1" applyAlignment="1">
      <x:alignment wrapText="1"/>
    </x:xf>
    <x:xf numFmtId="0" fontId="23" fillId="304" borderId="0" xfId="0" applyNumberFormat="1" applyFont="1" applyFill="1" applyBorder="1" applyAlignment="1">
      <x:alignment horizontal="center" vertical="center" wrapText="1"/>
    </x:xf>
    <x:xf numFmtId="0" fontId="23" fillId="305" borderId="0" xfId="0" applyNumberFormat="1" applyFont="1" applyFill="1" applyBorder="1" applyAlignment="1">
      <x:alignment horizontal="center" vertical="center" wrapText="1"/>
    </x:xf>
    <x:xf numFmtId="0" fontId="34" fillId="305" borderId="0" xfId="0" applyNumberFormat="1" applyFont="1" applyFill="1" applyBorder="1" applyAlignment="1">
      <x:alignment vertical="center" wrapText="1"/>
    </x:xf>
    <x:xf numFmtId="0" fontId="23" fillId="293" borderId="0" xfId="0" applyNumberFormat="1" applyFont="1" applyFill="1" applyBorder="1" applyAlignment="1">
      <x:alignment horizontal="center" vertical="center" wrapText="1"/>
    </x:xf>
    <x:xf numFmtId="0" fontId="34" fillId="293" borderId="0" xfId="0" applyNumberFormat="1" applyFont="1" applyFill="1" applyBorder="1" applyAlignment="1">
      <x:alignment vertical="center" wrapText="1"/>
    </x:xf>
    <x:xf numFmtId="204" fontId="25" fillId="294" borderId="0" xfId="0" applyNumberFormat="1" applyFont="1" applyFill="1" applyBorder="1" applyAlignment="1">
      <x:alignment vertical="top" wrapText="1"/>
    </x:xf>
    <x:xf numFmtId="208" fontId="25" fillId="294" borderId="0" xfId="0" applyNumberFormat="1" applyFont="1" applyFill="1" applyBorder="1" applyAlignment="1">
      <x:alignment vertical="top" wrapText="1"/>
    </x:xf>
    <x:xf numFmtId="204" fontId="25" fillId="296" borderId="0" xfId="0" applyNumberFormat="1" applyFont="1" applyFill="1" applyBorder="1" applyAlignment="1">
      <x:alignment vertical="top" wrapText="1"/>
    </x:xf>
    <x:xf numFmtId="208" fontId="25" fillId="296" borderId="0" xfId="0" applyNumberFormat="1" applyFont="1" applyFill="1" applyBorder="1" applyAlignment="1">
      <x:alignment vertical="top" wrapText="1"/>
    </x:xf>
    <x:xf numFmtId="0" fontId="20" fillId="305" borderId="0" xfId="0" applyNumberFormat="1" applyFont="1" applyFill="1" applyBorder="1" applyAlignment="1">
      <x:alignment vertical="center" wrapText="1"/>
    </x:xf>
    <x:xf numFmtId="0" fontId="35" fillId="305" borderId="0" xfId="0" applyNumberFormat="1" applyFont="1" applyFill="1" applyBorder="1" applyAlignment="1">
      <x:alignment vertical="center" wrapText="1"/>
    </x:xf>
    <x:xf numFmtId="0" fontId="70" fillId="16" borderId="0" xfId="0" applyNumberFormat="1" applyFont="1" applyFill="1" applyBorder="1" applyAlignment="1">
      <x:alignment vertical="center" wrapText="1"/>
    </x:xf>
    <x:xf numFmtId="0" fontId="70" fillId="6" borderId="0" xfId="0" applyNumberFormat="1" applyFont="1" applyFill="1" applyBorder="1" applyAlignment="1">
      <x:alignment vertical="top" wrapText="1"/>
    </x:xf>
    <x:xf numFmtId="0" fontId="70" fillId="17" borderId="0" xfId="0" applyNumberFormat="1" applyFont="1" applyFill="1" applyBorder="1" applyAlignment="1">
      <x:alignment vertical="top" wrapText="1"/>
    </x:xf>
    <x:xf numFmtId="0" fontId="70" fillId="16" borderId="0" xfId="0" applyNumberFormat="1" applyFont="1" applyFill="1" applyBorder="1" applyAlignment="1">
      <x:alignment vertical="top" wrapText="1"/>
    </x:xf>
    <x:xf numFmtId="0" fontId="70" fillId="306" borderId="0" xfId="0" applyNumberFormat="1" applyFont="1" applyFill="1" applyBorder="1" applyAlignment="1">
      <x:alignment vertical="top" wrapText="1"/>
    </x:xf>
    <x:xf numFmtId="0" fontId="20" fillId="306" borderId="0" xfId="0" applyNumberFormat="1" applyFont="1" applyFill="1" applyBorder="1" applyAlignment="1">
      <x:alignment vertical="top" wrapText="1"/>
    </x:xf>
    <x:xf numFmtId="0" fontId="20" fillId="306" borderId="0" xfId="0" applyNumberFormat="1" applyFont="1" applyFill="1" applyBorder="1" applyAlignment="1">
      <x:alignment vertical="center" wrapText="1"/>
    </x:xf>
    <x:xf numFmtId="0" fontId="25" fillId="307" borderId="0" xfId="0" applyNumberFormat="1" applyFont="1" applyFill="1" applyBorder="1" applyAlignment="1">
      <x:alignment vertical="top" wrapText="1"/>
    </x:xf>
    <x:xf numFmtId="201" fontId="25" fillId="307" borderId="0" xfId="0" applyNumberFormat="1" applyFont="1" applyFill="1" applyBorder="1" applyAlignment="1">
      <x:alignment vertical="top" wrapText="1"/>
    </x:xf>
    <x:xf numFmtId="202" fontId="25" fillId="307" borderId="0" xfId="0" applyNumberFormat="1" applyFont="1" applyFill="1" applyBorder="1" applyAlignment="1">
      <x:alignment vertical="top" wrapText="1"/>
    </x:xf>
    <x:xf numFmtId="0" fontId="28" fillId="307" borderId="0" xfId="0" applyNumberFormat="1" applyFont="1" applyFill="1" applyBorder="1" applyAlignment="1">
      <x:alignment vertical="top" wrapText="1"/>
    </x:xf>
    <x:xf numFmtId="0" fontId="70" fillId="307" borderId="0" xfId="0" applyNumberFormat="1" applyFont="1" applyFill="1" applyBorder="1" applyAlignment="1">
      <x:alignment vertical="top" wrapText="1"/>
    </x:xf>
    <x:xf numFmtId="0" fontId="25" fillId="308" borderId="0" xfId="0" applyNumberFormat="1" applyFont="1" applyFill="1" applyBorder="1" applyAlignment="1">
      <x:alignment vertical="top" wrapText="1"/>
    </x:xf>
    <x:xf numFmtId="0" fontId="25" fillId="309" borderId="0" xfId="0" applyNumberFormat="1" applyFont="1" applyFill="1" applyBorder="1" applyAlignment="1">
      <x:alignment vertical="top" wrapText="1"/>
    </x:xf>
    <x:xf numFmtId="201" fontId="25" fillId="309" borderId="0" xfId="0" applyNumberFormat="1" applyFont="1" applyFill="1" applyBorder="1" applyAlignment="1">
      <x:alignment vertical="top" wrapText="1"/>
    </x:xf>
    <x:xf numFmtId="202" fontId="25" fillId="309" borderId="0" xfId="0" applyNumberFormat="1" applyFont="1" applyFill="1" applyBorder="1" applyAlignment="1">
      <x:alignment vertical="top" wrapText="1"/>
    </x:xf>
    <x:xf numFmtId="0" fontId="28" fillId="309" borderId="0" xfId="0" applyNumberFormat="1" applyFont="1" applyFill="1" applyBorder="1" applyAlignment="1">
      <x:alignment vertical="top" wrapText="1"/>
    </x:xf>
    <x:xf numFmtId="0" fontId="70" fillId="309" borderId="0" xfId="0" applyNumberFormat="1" applyFont="1" applyFill="1" applyBorder="1" applyAlignment="1">
      <x:alignment vertical="top" wrapText="1"/>
    </x:xf>
    <x:xf numFmtId="0" fontId="25" fillId="310" borderId="0" xfId="0" applyNumberFormat="1" applyFont="1" applyFill="1" applyBorder="1" applyAlignment="1">
      <x:alignment vertical="top" wrapText="1"/>
    </x:xf>
    <x:xf numFmtId="0" fontId="25" fillId="311" borderId="0" xfId="0" applyNumberFormat="1" applyFont="1" applyFill="1" applyBorder="1" applyAlignment="1">
      <x:alignment vertical="top" wrapText="1"/>
    </x:xf>
    <x:xf numFmtId="0" fontId="25" fillId="312" borderId="0" xfId="0" applyNumberFormat="1" applyFont="1" applyFill="1" applyBorder="1" applyAlignment="1">
      <x:alignment vertical="top" wrapText="1"/>
    </x:xf>
    <x:xf numFmtId="0" fontId="25" fillId="313" borderId="0" xfId="0" applyNumberFormat="1" applyFont="1" applyFill="1" applyBorder="1" applyAlignment="1">
      <x:alignment vertical="top" wrapText="1"/>
    </x:xf>
    <x:xf numFmtId="0" fontId="25" fillId="314" borderId="0" xfId="0" applyNumberFormat="1" applyFont="1" applyFill="1" applyBorder="1" applyAlignment="1">
      <x:alignment vertical="top" wrapText="1"/>
    </x:xf>
    <x:xf numFmtId="202" fontId="20" fillId="307" borderId="0" xfId="0" applyNumberFormat="1" applyFont="1" applyFill="1" applyBorder="1" applyAlignment="1">
      <x:alignment vertical="center" wrapText="1"/>
    </x:xf>
    <x:xf numFmtId="0" fontId="27" fillId="315" borderId="0" xfId="0" applyNumberFormat="1" applyFont="1" applyFill="1" applyBorder="1" applyAlignment="1">
      <x:alignment vertical="center" wrapText="1"/>
    </x:xf>
    <x:xf numFmtId="0" fontId="27" fillId="307" borderId="0" xfId="0" applyNumberFormat="1" applyFont="1" applyFill="1" applyBorder="1" applyAlignment="1">
      <x:alignment vertical="center" wrapText="1"/>
    </x:xf>
    <x:xf numFmtId="0" fontId="0" fillId="307" borderId="0" xfId="0" applyNumberFormat="1" applyFont="1" applyFill="1" applyBorder="1"/>
    <x:xf numFmtId="0" fontId="20" fillId="307" borderId="0" xfId="0" applyNumberFormat="1" applyFont="1" applyFill="1" applyBorder="1" applyAlignment="1">
      <x:alignment vertical="center" wrapText="1"/>
    </x:xf>
    <x:xf numFmtId="0" fontId="30" fillId="307" borderId="0" xfId="0" applyNumberFormat="1" applyFont="1" applyFill="1" applyBorder="1" applyAlignment="1">
      <x:alignment vertical="center" wrapText="1"/>
    </x:xf>
    <x:xf numFmtId="202" fontId="70" fillId="6" borderId="0" xfId="0" applyNumberFormat="1" applyFont="1" applyFill="1" applyBorder="1" applyAlignment="1">
      <x:alignment vertical="center" wrapText="1"/>
    </x:xf>
    <x:xf numFmtId="203" fontId="70" fillId="6" borderId="0" xfId="0" applyNumberFormat="1" applyFont="1" applyFill="1" applyBorder="1" applyAlignment="1">
      <x:alignment vertical="top" wrapText="1"/>
    </x:xf>
    <x:xf numFmtId="202" fontId="70" fillId="6" borderId="0" xfId="0" applyNumberFormat="1" applyFont="1" applyFill="1" applyBorder="1" applyAlignment="1">
      <x:alignment vertical="top" wrapText="1"/>
    </x:xf>
    <x:xf numFmtId="0" fontId="70" fillId="30" borderId="0" xfId="0" applyNumberFormat="1" applyFont="1" applyFill="1" applyBorder="1" applyAlignment="1">
      <x:alignment vertical="top" wrapText="1"/>
    </x:xf>
    <x:xf numFmtId="0" fontId="70" fillId="18" borderId="0" xfId="0" applyNumberFormat="1" applyFont="1" applyFill="1" applyBorder="1" applyAlignment="1">
      <x:alignment vertical="top" wrapText="1"/>
    </x:xf>
    <x:xf numFmtId="203" fontId="70" fillId="17" borderId="0" xfId="0" applyNumberFormat="1" applyFont="1" applyFill="1" applyBorder="1" applyAlignment="1">
      <x:alignment vertical="top" wrapText="1"/>
    </x:xf>
    <x:xf numFmtId="202" fontId="70" fillId="306" borderId="0" xfId="0" applyNumberFormat="1" applyFont="1" applyFill="1" applyBorder="1" applyAlignment="1">
      <x:alignment vertical="top" wrapText="1"/>
    </x:xf>
    <x:xf numFmtId="202" fontId="20" fillId="306" borderId="0" xfId="0" applyNumberFormat="1" applyFont="1" applyFill="1" applyBorder="1" applyAlignment="1">
      <x:alignment vertical="top" wrapText="1"/>
    </x:xf>
    <x:xf numFmtId="202" fontId="20" fillId="306" borderId="0" xfId="0" applyNumberFormat="1" applyFont="1" applyFill="1" applyBorder="1" applyAlignment="1">
      <x:alignment vertical="center" wrapText="1"/>
    </x:xf>
    <x:xf numFmtId="203" fontId="70" fillId="307" borderId="0" xfId="0" applyNumberFormat="1" applyFont="1" applyFill="1" applyBorder="1" applyAlignment="1">
      <x:alignment vertical="top" wrapText="1"/>
    </x:xf>
    <x:xf numFmtId="202" fontId="70" fillId="307" borderId="0" xfId="0" applyNumberFormat="1" applyFont="1" applyFill="1" applyBorder="1" applyAlignment="1">
      <x:alignment vertical="top" wrapText="1"/>
    </x:xf>
    <x:xf numFmtId="203" fontId="70" fillId="309" borderId="0" xfId="0" applyNumberFormat="1" applyFont="1" applyFill="1" applyBorder="1" applyAlignment="1">
      <x:alignment vertical="top" wrapText="1"/>
    </x:xf>
    <x:xf numFmtId="202" fontId="70" fillId="309" borderId="0" xfId="0" applyNumberFormat="1" applyFont="1" applyFill="1" applyBorder="1" applyAlignment="1">
      <x:alignment vertical="top" wrapText="1"/>
    </x:xf>
    <x:xf numFmtId="0" fontId="71" fillId="307" borderId="0" xfId="0" applyNumberFormat="1" applyFont="1" applyFill="1" applyBorder="1" applyAlignment="1">
      <x:alignment vertical="top" wrapText="1"/>
    </x:xf>
    <x:xf numFmtId="0" fontId="71" fillId="309" borderId="0" xfId="0" applyNumberFormat="1" applyFont="1" applyFill="1" applyBorder="1" applyAlignment="1">
      <x:alignment vertical="top" wrapText="1"/>
    </x:xf>
    <x:xf numFmtId="0" fontId="70" fillId="316" borderId="0" xfId="0" applyNumberFormat="1" applyFont="1" applyFill="1" applyBorder="1" applyAlignment="1">
      <x:alignment vertical="top" wrapText="1"/>
    </x:xf>
    <x:xf numFmtId="0" fontId="70" fillId="314" borderId="0" xfId="0" applyNumberFormat="1" applyFont="1" applyFill="1" applyBorder="1" applyAlignment="1">
      <x:alignment vertical="top" wrapText="1"/>
    </x:xf>
    <x:xf numFmtId="0" fontId="26" fillId="307" borderId="0" xfId="0" applyNumberFormat="1" applyFont="1" applyFill="1" applyBorder="1" applyAlignment="1">
      <x:alignment vertical="center" wrapText="1"/>
    </x:xf>
    <x:xf numFmtId="0" fontId="27" fillId="307" borderId="0" xfId="0" applyNumberFormat="1" applyFont="1" applyFill="1" applyBorder="1" applyAlignment="1">
      <x:alignment vertical="top" wrapText="1"/>
    </x:xf>
    <x:xf numFmtId="0" fontId="27" fillId="317" borderId="0" xfId="0" applyNumberFormat="1" applyFont="1" applyFill="1" applyBorder="1" applyAlignment="1">
      <x:alignment vertical="top" wrapText="1"/>
    </x:xf>
    <x:xf numFmtId="0" fontId="26" fillId="317" borderId="0" xfId="0" applyNumberFormat="1" applyFont="1" applyFill="1" applyBorder="1" applyAlignment="1">
      <x:alignment vertical="top" wrapText="1"/>
    </x:xf>
    <x:xf numFmtId="0" fontId="26" fillId="317" borderId="0" xfId="0" applyNumberFormat="1" applyFont="1" applyFill="1" applyBorder="1" applyAlignment="1">
      <x:alignment vertical="center" wrapText="1"/>
    </x:xf>
    <x:xf numFmtId="0" fontId="27" fillId="315" borderId="0" xfId="0" applyNumberFormat="1" applyFont="1" applyFill="1" applyBorder="1" applyAlignment="1">
      <x:alignment vertical="top" wrapText="1"/>
    </x:xf>
    <x:xf numFmtId="0" fontId="27" fillId="306" borderId="0" xfId="0" applyNumberFormat="1" applyFont="1" applyFill="1" applyBorder="1" applyAlignment="1">
      <x:alignment vertical="top" wrapText="1"/>
    </x:xf>
    <x:xf numFmtId="0" fontId="20" fillId="318" borderId="1" xfId="0" applyNumberFormat="1" applyFont="1" applyFill="1" applyBorder="1" applyAlignment="1">
      <x:alignment horizontal="left" vertical="center" wrapText="1"/>
    </x:xf>
    <x:xf numFmtId="165" fontId="34" fillId="318" borderId="1" xfId="0" applyNumberFormat="1" applyFont="1" applyFill="1" applyBorder="1" applyAlignment="1">
      <x:alignment horizontal="left" vertical="center" wrapText="1"/>
    </x:xf>
    <x:xf numFmtId="166" fontId="34" fillId="318" borderId="1" xfId="0" applyNumberFormat="1" applyFont="1" applyFill="1" applyBorder="1" applyAlignment="1">
      <x:alignment horizontal="left" vertical="center" wrapText="1"/>
    </x:xf>
    <x:xf numFmtId="0" fontId="34" fillId="318" borderId="1" xfId="0" applyNumberFormat="1" applyFont="1" applyFill="1" applyBorder="1" applyAlignment="1">
      <x:alignment horizontal="left" vertical="center" wrapText="1"/>
    </x:xf>
    <x:xf numFmtId="0" fontId="34" fillId="318" borderId="0" xfId="0" applyNumberFormat="1" applyFont="1" applyFill="1" applyBorder="1" applyAlignment="1">
      <x:alignment horizontal="left" vertical="center" wrapText="1"/>
    </x:xf>
    <x:xf numFmtId="167" fontId="34" fillId="318" borderId="1" xfId="0" applyNumberFormat="1" applyFont="1" applyFill="1" applyBorder="1" applyAlignment="1">
      <x:alignment horizontal="left" vertical="center" wrapText="1"/>
    </x:xf>
    <x:xf numFmtId="168" fontId="34" fillId="318" borderId="1" xfId="0" applyNumberFormat="1" applyFont="1" applyFill="1" applyBorder="1" applyAlignment="1">
      <x:alignment horizontal="left" vertical="center" wrapText="1"/>
    </x:xf>
    <x:xf numFmtId="170" fontId="34" fillId="318" borderId="1" xfId="0" applyNumberFormat="1" applyFont="1" applyFill="1" applyBorder="1" applyAlignment="1">
      <x:alignment horizontal="left" vertical="center" wrapText="1"/>
    </x:xf>
    <x:xf numFmtId="0" fontId="35" fillId="318" borderId="6" xfId="0" applyNumberFormat="1" applyFont="1" applyFill="1" applyBorder="1" applyAlignment="1">
      <x:alignment horizontal="left" vertical="center" wrapText="1"/>
    </x:xf>
    <x:xf numFmtId="0" fontId="35" fillId="318" borderId="7" xfId="0" applyNumberFormat="1" applyFont="1" applyFill="1" applyBorder="1" applyAlignment="1">
      <x:alignment horizontal="left" vertical="center" wrapText="1"/>
    </x:xf>
    <x:xf numFmtId="0" fontId="35" fillId="318" borderId="8" xfId="0" applyNumberFormat="1" applyFont="1" applyFill="1" applyBorder="1" applyAlignment="1">
      <x:alignment horizontal="left" vertical="center" wrapText="1"/>
    </x:xf>
    <x:xf numFmtId="0" fontId="35" fillId="318" borderId="9" xfId="0" applyNumberFormat="1" applyFont="1" applyFill="1" applyBorder="1" applyAlignment="1">
      <x:alignment horizontal="left" vertical="center" wrapText="1"/>
    </x:xf>
    <x:xf numFmtId="0" fontId="35" fillId="318" borderId="0" xfId="0" applyNumberFormat="1" applyFont="1" applyFill="1" applyBorder="1" applyAlignment="1">
      <x:alignment horizontal="left" vertical="center" wrapText="1"/>
    </x:xf>
    <x:xf numFmtId="0" fontId="35" fillId="318" borderId="10" xfId="0" applyNumberFormat="1" applyFont="1" applyFill="1" applyBorder="1" applyAlignment="1">
      <x:alignment horizontal="left" vertical="center" wrapText="1"/>
    </x:xf>
    <x:xf numFmtId="0" fontId="35" fillId="318" borderId="11" xfId="0" applyNumberFormat="1" applyFont="1" applyFill="1" applyBorder="1" applyAlignment="1">
      <x:alignment horizontal="left" vertical="center" wrapText="1"/>
    </x:xf>
    <x:xf numFmtId="0" fontId="35" fillId="318" borderId="12" xfId="0" applyNumberFormat="1" applyFont="1" applyFill="1" applyBorder="1" applyAlignment="1">
      <x:alignment horizontal="left" vertical="center" wrapText="1"/>
    </x:xf>
    <x:xf numFmtId="0" fontId="35" fillId="318" borderId="13" xfId="0" applyNumberFormat="1" applyFont="1" applyFill="1" applyBorder="1" applyAlignment="1">
      <x:alignment horizontal="left" vertical="center" wrapText="1"/>
    </x:xf>
    <x:xf numFmtId="0" fontId="36" fillId="306" borderId="9" xfId="0" applyNumberFormat="1" applyFont="1" applyFill="1" applyBorder="1" applyAlignment="1">
      <x:alignment horizontal="left" vertical="center" wrapText="1"/>
    </x:xf>
    <x:xf numFmtId="0" fontId="36" fillId="306" borderId="0" xfId="0" applyNumberFormat="1" applyFont="1" applyFill="1" applyBorder="1" applyAlignment="1">
      <x:alignment horizontal="left" vertical="center" wrapText="1"/>
    </x:xf>
    <x:xf numFmtId="0" fontId="36" fillId="306" borderId="10" xfId="0" applyNumberFormat="1" applyFont="1" applyFill="1" applyBorder="1" applyAlignment="1">
      <x:alignment horizontal="left" vertical="center" wrapText="1"/>
    </x:xf>
    <x:xf numFmtId="0" fontId="36" fillId="306" borderId="11" xfId="0" applyNumberFormat="1" applyFont="1" applyFill="1" applyBorder="1" applyAlignment="1">
      <x:alignment horizontal="left" vertical="center" wrapText="1"/>
    </x:xf>
    <x:xf numFmtId="0" fontId="36" fillId="306" borderId="12" xfId="0" applyNumberFormat="1" applyFont="1" applyFill="1" applyBorder="1" applyAlignment="1">
      <x:alignment horizontal="left" vertical="center" wrapText="1"/>
    </x:xf>
    <x:xf numFmtId="0" fontId="36" fillId="306" borderId="13" xfId="0" applyNumberFormat="1" applyFont="1" applyFill="1" applyBorder="1" applyAlignment="1">
      <x:alignment horizontal="left" vertical="center" wrapText="1"/>
    </x:xf>
    <x:xf numFmtId="0" fontId="27" fillId="306" borderId="0" xfId="0" applyNumberFormat="1" applyFont="1" applyFill="1" applyBorder="1" applyAlignment="1">
      <x:alignment vertical="center" wrapText="1"/>
    </x:xf>
    <x:xf numFmtId="0" fontId="52" fillId="317" borderId="0" xfId="0" applyNumberFormat="1" applyFont="1" applyFill="1" applyBorder="1" applyAlignment="1">
      <x:alignment vertical="center" wrapText="1"/>
    </x:xf>
    <x:xf numFmtId="0" fontId="34" fillId="317" borderId="0" xfId="0" applyNumberFormat="1" applyFont="1" applyFill="1" applyBorder="1" applyAlignment="1">
      <x:alignment vertical="center" wrapText="1"/>
    </x:xf>
    <x:xf numFmtId="0" fontId="29" fillId="317" borderId="0" xfId="0" applyNumberFormat="1" applyFont="1" applyFill="1" applyBorder="1" applyAlignment="1">
      <x:alignment vertical="center" wrapText="1"/>
    </x:xf>
    <x:xf numFmtId="0" fontId="20" fillId="317" borderId="0" xfId="0" applyNumberFormat="1" applyFont="1" applyFill="1" applyBorder="1" applyAlignment="1">
      <x:alignment vertical="center" wrapText="1"/>
    </x:xf>
    <x:xf numFmtId="0" fontId="53" fillId="317" borderId="0" xfId="0" applyNumberFormat="1" applyFont="1" applyFill="1" applyBorder="1" applyAlignment="1">
      <x:alignment horizontal="center" vertical="center" wrapText="1"/>
    </x:xf>
    <x:xf numFmtId="0" fontId="51" fillId="317" borderId="0" xfId="0" applyNumberFormat="1" applyFont="1" applyFill="1" applyBorder="1" applyAlignment="1">
      <x:alignment vertical="center" wrapText="1"/>
    </x:xf>
    <x:xf numFmtId="0" fontId="35" fillId="317" borderId="0" xfId="0" applyNumberFormat="1" applyFont="1" applyFill="1" applyBorder="1" applyAlignment="1">
      <x:alignment vertical="center" wrapText="1"/>
    </x:xf>
    <x:xf numFmtId="0" fontId="29" fillId="317" borderId="0" xfId="0" applyNumberFormat="1" applyFont="1" applyFill="1" applyBorder="1" applyAlignment="1">
      <x:alignment horizontal="center" vertical="center" wrapText="1"/>
    </x:xf>
    <x:xf numFmtId="0" fontId="29" fillId="306" borderId="0" xfId="0" applyNumberFormat="1" applyFont="1" applyFill="1" applyBorder="1" applyAlignment="1">
      <x:alignment vertical="center" wrapText="1"/>
    </x:xf>
    <x:xf numFmtId="0" fontId="52" fillId="306" borderId="0" xfId="0" applyNumberFormat="1" applyFont="1" applyFill="1" applyBorder="1" applyAlignment="1">
      <x:alignment vertical="center" wrapText="1"/>
    </x:xf>
    <x:xf numFmtId="0" fontId="29" fillId="318" borderId="0" xfId="0" applyNumberFormat="1" applyFont="1" applyFill="1" applyBorder="1" applyAlignment="1">
      <x:alignment vertical="center" wrapText="1"/>
    </x:xf>
    <x:xf numFmtId="0" fontId="29" fillId="318" borderId="0" xfId="0" applyNumberFormat="1" applyFont="1" applyFill="1" applyBorder="1" applyAlignment="1">
      <x:alignment horizontal="center" vertical="center" wrapText="1"/>
    </x:xf>
    <x:xf numFmtId="0" fontId="53" fillId="318" borderId="0" xfId="0" applyNumberFormat="1" applyFont="1" applyFill="1" applyBorder="1" applyAlignment="1">
      <x:alignment horizontal="center" vertical="center" wrapText="1"/>
    </x:xf>
    <x:xf numFmtId="0" fontId="29" fillId="306" borderId="0" xfId="0" applyNumberFormat="1" applyFont="1" applyFill="1" applyBorder="1" applyAlignment="1">
      <x:alignment horizontal="center" vertical="center" wrapText="1"/>
    </x:xf>
    <x:xf numFmtId="0" fontId="53" fillId="306" borderId="0" xfId="0" applyNumberFormat="1" applyFont="1" applyFill="1" applyBorder="1" applyAlignment="1">
      <x:alignment horizontal="center" vertical="center" wrapText="1"/>
    </x:xf>
    <x:xf numFmtId="0" fontId="35" fillId="306" borderId="0" xfId="0" applyNumberFormat="1" applyFont="1" applyFill="1" applyBorder="1" applyAlignment="1">
      <x:alignment vertical="center" wrapText="1"/>
    </x:xf>
    <x:xf numFmtId="0" fontId="25" fillId="315" borderId="0" xfId="0" applyNumberFormat="1" applyFont="1" applyFill="1" applyBorder="1" applyAlignment="1">
      <x:alignment wrapText="1"/>
    </x:xf>
    <x:xf numFmtId="0" fontId="23" fillId="317" borderId="0" xfId="0" applyNumberFormat="1" applyFont="1" applyFill="1" applyBorder="1" applyAlignment="1">
      <x:alignment horizontal="center" vertical="center" wrapText="1"/>
    </x:xf>
    <x:xf numFmtId="0" fontId="23" fillId="318" borderId="0" xfId="0" applyNumberFormat="1" applyFont="1" applyFill="1" applyBorder="1" applyAlignment="1">
      <x:alignment horizontal="center" vertical="center" wrapText="1"/>
    </x:xf>
    <x:xf numFmtId="0" fontId="34" fillId="318" borderId="0" xfId="0" applyNumberFormat="1" applyFont="1" applyFill="1" applyBorder="1" applyAlignment="1">
      <x:alignment vertical="center" wrapText="1"/>
    </x:xf>
    <x:xf numFmtId="0" fontId="23" fillId="306" borderId="0" xfId="0" applyNumberFormat="1" applyFont="1" applyFill="1" applyBorder="1" applyAlignment="1">
      <x:alignment horizontal="center" vertical="center" wrapText="1"/>
    </x:xf>
    <x:xf numFmtId="0" fontId="34" fillId="306" borderId="0" xfId="0" applyNumberFormat="1" applyFont="1" applyFill="1" applyBorder="1" applyAlignment="1">
      <x:alignment vertical="center" wrapText="1"/>
    </x:xf>
    <x:xf numFmtId="204" fontId="25" fillId="307" borderId="0" xfId="0" applyNumberFormat="1" applyFont="1" applyFill="1" applyBorder="1" applyAlignment="1">
      <x:alignment vertical="top" wrapText="1"/>
    </x:xf>
    <x:xf numFmtId="208" fontId="25" fillId="307" borderId="0" xfId="0" applyNumberFormat="1" applyFont="1" applyFill="1" applyBorder="1" applyAlignment="1">
      <x:alignment vertical="top" wrapText="1"/>
    </x:xf>
    <x:xf numFmtId="204" fontId="25" fillId="309" borderId="0" xfId="0" applyNumberFormat="1" applyFont="1" applyFill="1" applyBorder="1" applyAlignment="1">
      <x:alignment vertical="top" wrapText="1"/>
    </x:xf>
    <x:xf numFmtId="208" fontId="25" fillId="309" borderId="0" xfId="0" applyNumberFormat="1" applyFont="1" applyFill="1" applyBorder="1" applyAlignment="1">
      <x:alignment vertical="top" wrapText="1"/>
    </x:xf>
    <x:xf numFmtId="0" fontId="20" fillId="318" borderId="0" xfId="0" applyNumberFormat="1" applyFont="1" applyFill="1" applyBorder="1" applyAlignment="1">
      <x:alignment vertical="center" wrapText="1"/>
    </x:xf>
    <x:xf numFmtId="0" fontId="35" fillId="318" borderId="0" xfId="0" applyNumberFormat="1" applyFont="1" applyFill="1" applyBorder="1" applyAlignment="1">
      <x:alignment vertical="center" wrapText="1"/>
    </x:xf>
  </x:cellXfs>
  <x:cellStyles count="1">
    <x:cellStyle name="Normal" xfId="0"/>
  </x:cellStyles>
  <x:dxfs count="8">
    <x:dxf>
      <x:font>
        <x:b/>
        <x:color rgb="FFB3261E"/>
      </x:font>
      <x:fill>
        <x:patternFill>
          <x:bgColor rgb="FFF4CCCC"/>
        </x:patternFill>
      </x:fill>
    </x:dxf>
    <x:dxf>
      <x:font>
        <x:b/>
        <x:color rgb="FF8A6400"/>
      </x:font>
      <x:fill>
        <x:patternFill>
          <x:bgColor rgb="FFFFF2CC"/>
        </x:patternFill>
      </x:fill>
    </x:dxf>
    <x:dxf>
      <x:font>
        <x:b/>
        <x:color rgb="FF2E7D32"/>
      </x:font>
      <x:fill>
        <x:patternFill>
          <x:bgColor rgb="FFD9EAD3"/>
        </x:patternFill>
      </x:fill>
    </x:dxf>
    <x:dxf>
      <x:font>
        <x:b/>
        <x:color rgb="FF243B50"/>
      </x:font>
      <x:fill>
        <x:patternFill>
          <x:bgColor rgb="FFDFF0E9"/>
        </x:patternFill>
      </x:fill>
    </x:dxf>
    <x:dxf>
      <x:font>
        <x:b/>
        <x:color rgb="FF243B50"/>
      </x:font>
      <x:fill>
        <x:patternFill>
          <x:bgColor rgb="FFE4EFFB"/>
        </x:patternFill>
      </x:fill>
    </x:dxf>
    <x:dxf>
      <x:font>
        <x:b/>
        <x:color rgb="FF243B50"/>
      </x:font>
      <x:fill>
        <x:patternFill>
          <x:bgColor rgb="FFF9E1DB"/>
        </x:patternFill>
      </x:fill>
    </x:dxf>
    <x:dxf>
      <x:font>
        <x:b/>
        <x:color rgb="FF243B50"/>
      </x:font>
      <x:fill>
        <x:patternFill>
          <x:bgColor rgb="FFFFF0D0"/>
        </x:patternFill>
      </x:fill>
    </x:dxf>
    <x:dxf>
      <x:font>
        <x:b/>
        <x:color rgb="FF243B50"/>
      </x:font>
      <x:fill>
        <x:patternFill>
          <x:bgColor rgb="FFE9E9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a2e69e556a4eee" /><Relationship Type="http://schemas.openxmlformats.org/officeDocument/2006/relationships/theme" Target="/xl/theme/theme1.xml" Id="Re13b00e8a9594cb3" /><Relationship Type="http://schemas.openxmlformats.org/officeDocument/2006/relationships/sharedStrings" Target="/xl/sharedStrings.xml" Id="Ra7395641c5c54773" /><Relationship Type="http://schemas.openxmlformats.org/officeDocument/2006/relationships/worksheet" Target="/xl/worksheets/sheet1.xml" Id="R2007a83ea3314dca" /><Relationship Type="http://schemas.openxmlformats.org/officeDocument/2006/relationships/worksheet" Target="/xl/worksheets/sheet2.xml" Id="Rc58f342999e24784" /><Relationship Type="http://schemas.openxmlformats.org/officeDocument/2006/relationships/worksheet" Target="/xl/worksheets/sheet3.xml" Id="R49b10d61b5dd4a53" /><Relationship Type="http://schemas.openxmlformats.org/officeDocument/2006/relationships/worksheet" Target="/xl/worksheets/sheet4.xml" Id="R15bd6e1ccd2647d7" /><Relationship Type="http://schemas.openxmlformats.org/officeDocument/2006/relationships/worksheet" Target="/xl/worksheets/sheet5.xml" Id="R8128f358beb9463b" /><Relationship Type="http://schemas.openxmlformats.org/officeDocument/2006/relationships/worksheet" Target="/xl/worksheets/sheet6.xml" Id="R413cd9fc03a54c76" /><Relationship Type="http://schemas.openxmlformats.org/officeDocument/2006/relationships/worksheet" Target="/xl/worksheets/sheet7.xml" Id="R13deac6ec35444cb" /><Relationship Type="http://schemas.openxmlformats.org/officeDocument/2006/relationships/worksheet" Target="/xl/worksheets/sheet8.xml" Id="R2e0b5cd93b4546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2b611253a742f1" /><Relationship Type="http://schemas.openxmlformats.org/officeDocument/2006/relationships/chart" Target="/xl/drawings/charts/chart2.xml" Id="Rbd51a9bcf3164e0d" /><Relationship Type="http://schemas.openxmlformats.org/officeDocument/2006/relationships/chart" Target="/xl/drawings/charts/chart3.xml" Id="R6f719435fa864efe" /><Relationship Type="http://schemas.openxmlformats.org/officeDocument/2006/relationships/chart" Target="/xl/drawings/charts/chart4.xml" Id="R79dff545acbf42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ptos"/>
                <a:ea typeface="Aptos"/>
                <a:cs typeface="Aptos"/>
              </a:rPr>
              <a:t>Selected care items (count)</a:t>
            </a:r>
          </a:p>
        </c:rich>
      </c:tx>
      <c:overlay val="0"/>
      <c:txPr>
        <a:bodyPr xmlns:a="http://schemas.openxmlformats.org/drawingml/2006/main" anchorCtr="1"/>
        <a:lstStyle xmlns:a="http://schemas.openxmlformats.org/drawingml/2006/main"/>
        <a:p xmlns:a="http://schemas.openxmlformats.org/drawingml/2006/main">
          <a:pPr>
            <a:defRPr sz="1050">
              <a:latin typeface="Aptos"/>
              <a:ea typeface="Aptos"/>
              <a:cs typeface="Aptos"/>
            </a:defRPr>
          </a:pPr>
        </a:p>
      </c:txPr>
    </c:title>
    <c:plotArea>
      <c:barChart>
        <c:barDir val="col"/>
        <c:varyColors val="0"/>
        <c:ser>
          <c:idx val="0"/>
          <c:order val="0"/>
          <c:tx>
            <c:v>Selected items</c:v>
          </c:tx>
          <c:spPr>
            <a:solidFill xmlns:a="http://schemas.openxmlformats.org/drawingml/2006/main">
              <a:srgbClr val="00A3B5"/>
            </a:solidFill>
          </c:spPr>
          <c:cat>
            <c:strRef>
              <c:f>'_Chart Helpers'!$A$2:$A$6</c:f>
              <c:strCache>
                <c:ptCount val="0"/>
              </c:strCache>
            </c:strRef>
          </c:cat>
          <c:val>
            <c:numRef>
              <c:f>'_Chart Helpers'!$B$2:$B$6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ptos"/>
                <a:ea typeface="Aptos"/>
                <a:cs typeface="Aptos"/>
              </a:rPr>
              <a:t>At least one option listed</a:t>
            </a:r>
          </a:p>
        </c:rich>
      </c:tx>
      <c:overlay val="0"/>
      <c:txPr>
        <a:bodyPr xmlns:a="http://schemas.openxmlformats.org/drawingml/2006/main" anchorCtr="1"/>
        <a:lstStyle xmlns:a="http://schemas.openxmlformats.org/drawingml/2006/main"/>
        <a:p xmlns:a="http://schemas.openxmlformats.org/drawingml/2006/main">
          <a:pPr>
            <a:defRPr sz="1050">
              <a:latin typeface="Aptos"/>
              <a:ea typeface="Aptos"/>
              <a:cs typeface="Aptos"/>
            </a:defRPr>
          </a:pPr>
        </a:p>
      </c:txPr>
    </c:title>
    <c:plotArea>
      <c:barChart>
        <c:barDir val="col"/>
        <c:varyColors val="0"/>
        <c:ser>
          <c:idx val="0"/>
          <c:order val="0"/>
          <c:tx>
            <c:v>Listed share</c:v>
          </c:tx>
          <c:spPr>
            <a:solidFill xmlns:a="http://schemas.openxmlformats.org/drawingml/2006/main">
              <a:srgbClr val="00A3B5"/>
            </a:solidFill>
          </c:spPr>
          <c:cat>
            <c:strRef>
              <c:f>'_Chart Helpers'!$D$2:$D$7</c:f>
              <c:strCache>
                <c:ptCount val="0"/>
              </c:strCache>
            </c:strRef>
          </c:cat>
          <c:val>
            <c:numRef>
              <c:f>'_Chart Helpers'!$E$2:$E$7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ptos"/>
                <a:ea typeface="Aptos"/>
                <a:cs typeface="Aptos"/>
              </a:rPr>
              <a:t>Every listed option requires PA</a:t>
            </a:r>
          </a:p>
        </c:rich>
      </c:tx>
      <c:overlay val="0"/>
      <c:txPr>
        <a:bodyPr xmlns:a="http://schemas.openxmlformats.org/drawingml/2006/main" anchorCtr="1"/>
        <a:lstStyle xmlns:a="http://schemas.openxmlformats.org/drawingml/2006/main"/>
        <a:p xmlns:a="http://schemas.openxmlformats.org/drawingml/2006/main">
          <a:pPr>
            <a:defRPr sz="1050">
              <a:latin typeface="Aptos"/>
              <a:ea typeface="Aptos"/>
              <a:cs typeface="Aptos"/>
            </a:defRPr>
          </a:pPr>
        </a:p>
      </c:txPr>
    </c:title>
    <c:plotArea>
      <c:barChart>
        <c:barDir val="col"/>
        <c:varyColors val="0"/>
        <c:ser>
          <c:idx val="0"/>
          <c:order val="0"/>
          <c:tx>
            <c:v>All-options PA share</c:v>
          </c:tx>
          <c:spPr>
            <a:solidFill xmlns:a="http://schemas.openxmlformats.org/drawingml/2006/main">
              <a:srgbClr val="EAAF45"/>
            </a:solidFill>
          </c:spPr>
          <c:cat>
            <c:strRef>
              <c:f>'_Chart Helpers'!$G$2:$G$6</c:f>
              <c:strCache>
                <c:ptCount val="0"/>
              </c:strCache>
            </c:strRef>
          </c:cat>
          <c:val>
            <c:numRef>
              <c:f>'_Chart Helpers'!$H$2:$H$6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ptos"/>
                <a:ea typeface="Aptos"/>
                <a:cs typeface="Aptos"/>
              </a:rPr>
              <a:t>Other versus gynecologic work RVU</a:t>
            </a:r>
          </a:p>
        </c:rich>
      </c:tx>
      <c:overlay val="0"/>
      <c:txPr>
        <a:bodyPr xmlns:a="http://schemas.openxmlformats.org/drawingml/2006/main" anchorCtr="1"/>
        <a:lstStyle xmlns:a="http://schemas.openxmlformats.org/drawingml/2006/main"/>
        <a:p xmlns:a="http://schemas.openxmlformats.org/drawingml/2006/main">
          <a:pPr>
            <a:defRPr sz="1050">
              <a:latin typeface="Aptos"/>
              <a:ea typeface="Aptos"/>
              <a:cs typeface="Aptos"/>
            </a:defRPr>
          </a:pPr>
        </a:p>
      </c:txPr>
    </c:title>
    <c:plotArea>
      <c:barChart>
        <c:barDir val="col"/>
        <c:varyColors val="0"/>
        <c:ser>
          <c:idx val="0"/>
          <c:order val="0"/>
          <c:tx>
            <c:v>Relative work RVU difference</c:v>
          </c:tx>
          <c:spPr>
            <a:solidFill xmlns:a="http://schemas.openxmlformats.org/drawingml/2006/main">
              <a:srgbClr val="3FC5EC"/>
            </a:solidFill>
          </c:spPr>
          <c:cat>
            <c:strRef>
              <c:f>'_Chart Helpers'!$J$2:$J$6</c:f>
              <c:strCache>
                <c:ptCount val="0"/>
              </c:strCache>
            </c:strRef>
          </c:cat>
          <c:val>
            <c:numRef>
              <c:f>'_Chart Helpers'!$K$2:$K$6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low"/>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15</xdr:row>
      <xdr:rowOff>0</xdr:rowOff>
    </xdr:from>
    <xdr:to>
      <xdr:col>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2b611253a742f1"/>
        </a:graphicData>
      </a:graphic>
    </xdr:graphicFrame>
    <xdr:clientData/>
  </xdr:twoCellAnchor>
  <xdr:twoCellAnchor>
    <xdr:from>
      <xdr:col>9</xdr:col>
      <xdr:colOff>0</xdr:colOff>
      <xdr:row>15</xdr:row>
      <xdr:rowOff>0</xdr:rowOff>
    </xdr:from>
    <xdr:to>
      <xdr:col>17</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51a9bcf3164e0d"/>
        </a:graphicData>
      </a:graphic>
    </xdr:graphicFrame>
    <xdr:clientData/>
  </xdr:twoCellAnchor>
  <xdr:twoCellAnchor>
    <xdr:from>
      <xdr:col>1</xdr:col>
      <xdr:colOff>0</xdr:colOff>
      <xdr:row>29</xdr:row>
      <xdr:rowOff>0</xdr:rowOff>
    </xdr:from>
    <xdr:to>
      <xdr:col>9</xdr:col>
      <xdr:colOff>0</xdr:colOff>
      <xdr:row>42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719435fa864efe"/>
        </a:graphicData>
      </a:graphic>
    </xdr:graphicFrame>
    <xdr:clientData/>
  </xdr:twoCellAnchor>
  <xdr:twoCellAnchor>
    <xdr:from>
      <xdr:col>9</xdr:col>
      <xdr:colOff>0</xdr:colOff>
      <xdr:row>29</xdr:row>
      <xdr:rowOff>0</xdr:rowOff>
    </xdr:from>
    <xdr:to>
      <xdr:col>17</xdr:col>
      <xdr:colOff>0</xdr:colOff>
      <xdr:row>42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9dff545acbf42cb"/>
        </a:graphicData>
      </a:graphic>
    </xdr:graphicFrame>
    <xdr:clientData/>
  </xdr:twoCellAnchor>
</xdr:wsDr>
</file>

<file path=xl/tables/table1.xml><?xml version="1.0" encoding="utf-8"?>
<x:table xmlns:x="http://schemas.openxmlformats.org/spreadsheetml/2006/main" id="75" name="CareInventory" displayName="CareInventory" ref="A8:X48" headerRowCount="1" totalsRowCount="0" totalsRowShown="0">
  <x:autoFilter ref="A8:X48"/>
  <x:tableColumns count="24">
    <x:tableColumn id="1" name="Item ID"/>
    <x:tableColumn id="2" name="Care item"/>
    <x:tableColumn id="3" name="Coverage status"/>
    <x:tableColumn id="4" name="Medicare part"/>
    <x:tableColumn id="5" name="Indication"/>
    <x:tableColumn id="6" name="Population"/>
    <x:tableColumn id="7" name="Domain"/>
    <x:tableColumn id="8" name="Policy scope / date"/>
    <x:tableColumn id="9" name="Coverage rule"/>
    <x:tableColumn id="10" name="Comparison"/>
    <x:tableColumn id="11" name="Evidence on disparity or access"/>
    <x:tableColumn id="12" name="Evidence type"/>
    <x:tableColumn id="13" name="Limits / counterevidence"/>
    <x:tableColumn id="14" name="Next research question"/>
    <x:tableColumn id="15" name="Study IDs"/>
    <x:tableColumn id="16" name="Reviewed"/>
    <x:tableColumn id="17" name=" "/>
    <x:tableColumn id="18" name="Primary policy / formulary source"/>
    <x:tableColumn id="19" name="Additional policy / label source"/>
    <x:tableColumn id="20" name="Reviewer notes"/>
    <x:tableColumn id="21" name="Clinical basis"/>
    <x:tableColumn id="22" name="Sex / eligibility distinction"/>
    <x:tableColumn id="23" name="Analysis approach"/>
    <x:tableColumn id="24" name="Classification rationale"/>
  </x:tableColumns>
  <x:tableStyleInfo name="TableStyleMedium2" showFirstColumn="0" showLastColumn="0" showRowStripes="1" showColumnStripes="0"/>
</x:table>
</file>

<file path=xl/tables/table2.xml><?xml version="1.0" encoding="utf-8"?>
<x:table xmlns:x="http://schemas.openxmlformats.org/spreadsheetml/2006/main" id="76" name="ScientificLiterature" displayName="ScientificLiterature" ref="A8:X46" headerRowCount="1" totalsRowCount="0" totalsRowShown="0">
  <x:autoFilter ref="A8:X46"/>
  <x:tableColumns count="24">
    <x:tableColumn id="1" name="Study ID"/>
    <x:tableColumn id="2" name="Citation"/>
    <x:tableColumn id="3" name="Year"/>
    <x:tableColumn id="4" name="Design"/>
    <x:tableColumn id="5" name="Population / sample"/>
    <x:tableColumn id="6" name="Payer / applicability"/>
    <x:tableColumn id="7" name="Data period"/>
    <x:tableColumn id="8" name="Main finding"/>
    <x:tableColumn id="9" name="Limitations"/>
    <x:tableColumn id="10" name="Relevance to this review"/>
    <x:tableColumn id="11" name="Linked item IDs"/>
    <x:tableColumn id="12" name="Source access"/>
    <x:tableColumn id="13" name=" "/>
    <x:tableColumn id="14" name="Study URL"/>
    <x:tableColumn id="15" name="DOI / PMID"/>
    <x:tableColumn id="16" name="Population-screening status"/>
    <x:tableColumn id="17" name="Sex / gender reporting"/>
    <x:tableColumn id="18" name="Screening notes"/>
    <x:tableColumn id="19" name="Analytic subject"/>
    <x:tableColumn id="20" name="Unit of analysis"/>
    <x:tableColumn id="21" name="Patient sex/gender role"/>
    <x:tableColumn id="22" name="Physician sex/gender role"/>
    <x:tableColumn id="23" name="Comparison axis"/>
    <x:tableColumn id="24" name="Inference boundary"/>
  </x:tableColumns>
  <x:tableStyleInfo name="TableStyleMedium2" showFirstColumn="0" showLastColumn="0" showRowStripes="1" showColumnStripes="0"/>
</x:table>
</file>

<file path=xl/tables/table3.xml><?xml version="1.0" encoding="utf-8"?>
<x:table xmlns:x="http://schemas.openxmlformats.org/spreadsheetml/2006/main" id="3" name="DrugFormularies" displayName="DrugFormularies" ref="A8:K21" headerRowCount="1" totalsRowCount="0" totalsRowShown="0">
  <x:autoFilter ref="A8:K21"/>
  <x:tableColumns count="11">
    <x:tableColumn id="1" name="Drug / formulation"/>
    <x:tableColumn id="2" name="Plan segments"/>
    <x:tableColumn id="3" name="Segments listing ≥1 option"/>
    <x:tableColumn id="4" name="Listed share"/>
    <x:tableColumn id="5" name="Listing segments: all options PA"/>
    <x:tableColumn id="6" name="All-options PA share"/>
    <x:tableColumn id="7" name="Segments with ≥1 no-PA option"/>
    <x:tableColumn id="8" name="Segments with ≥1 no-PA/no-ST option"/>
    <x:tableColumn id="9" name="Reference drug concepts"/>
    <x:tableColumn id="10" name="CMS public file"/>
    <x:tableColumn id="11" name="Scope / source detail"/>
  </x:tableColumns>
  <x:tableStyleInfo name="TableStyleMedium2" showFirstColumn="0" showLastColumn="0" showRowStripes="1" showColumnStripes="0"/>
</x:table>
</file>

<file path=xl/tables/table4.xml><?xml version="1.0" encoding="utf-8"?>
<x:table xmlns:x="http://schemas.openxmlformats.org/spreadsheetml/2006/main" id="4" name="ProcedureValues" displayName="ProcedureValues" ref="A8:P13" headerRowCount="1" totalsRowCount="0" totalsRowShown="0">
  <x:autoFilter ref="A8:P13"/>
  <x:tableColumns count="16">
    <x:tableColumn id="1" name="Procedure pair"/>
    <x:tableColumn id="2" name="Other CPT"/>
    <x:tableColumn id="3" name="Urologic / other procedure"/>
    <x:tableColumn id="4" name="Other work RVU"/>
    <x:tableColumn id="5" name="Gynecologic CPT"/>
    <x:tableColumn id="6" name="Gynecologic procedure"/>
    <x:tableColumn id="7" name="Gynecologic work RVU"/>
    <x:tableColumn id="8" name="Work RVU difference"/>
    <x:tableColumn id="9" name="Relative work RVU difference"/>
    <x:tableColumn id="10" name="Other physician facility RVU"/>
    <x:tableColumn id="11" name="Gynecologic physician facility RVU"/>
    <x:tableColumn id="12" name="Relative facility RVU difference"/>
    <x:tableColumn id="13" name="Global days (both)"/>
    <x:tableColumn id="14" name="Comparison limits"/>
    <x:tableColumn id="15" name="CMS source"/>
    <x:tableColumn id="16" name="Pair-selection source"/>
  </x:tableColumns>
  <x:tableStyleInfo name="TableStyleMedium2" showFirstColumn="0" showLastColumn="0" showRowStripes="1" showColumnStripes="0"/>
</x:table>
</file>

<file path=xl/tables/table5.xml><?xml version="1.0" encoding="utf-8"?>
<x:table xmlns:x="http://schemas.openxmlformats.org/spreadsheetml/2006/main" id="77" name="ScopeExclusions" displayName="ScopeExclusions" ref="A8:H19" headerRowCount="1" totalsRowCount="0" totalsRowShown="0">
  <x:autoFilter ref="A8:H19"/>
  <x:tableColumns count="8">
    <x:tableColumn id="1" name="Record ID"/>
    <x:tableColumn id="2" name="Record type"/>
    <x:tableColumn id="3" name="Item / citation"/>
    <x:tableColumn id="4" name="Decision"/>
    <x:tableColumn id="5" name="Exclusion reason"/>
    <x:tableColumn id="6" name="Interpretation / subgroup note"/>
    <x:tableColumn id="7" name="Decision date"/>
    <x:tableColumn id="8" name="Source URL"/>
  </x:tableColumns>
  <x:tableStyleInfo name="TableStyleMedium2" showFirstColumn="0" showLastColumn="0" showRowStripes="1" showColumnStripes="0"/>
</x:table>
</file>

<file path=xl/tables/table6.xml><?xml version="1.0" encoding="utf-8"?>
<x:table xmlns:x="http://schemas.openxmlformats.org/spreadsheetml/2006/main" id="78" name="ResearchHypotheses" displayName="ResearchHypotheses" ref="A8:S17" headerRowCount="1" totalsRowCount="0" totalsRowShown="0">
  <x:autoFilter ref="A8:S17"/>
  <x:tableColumns count="19">
    <x:tableColumn id="1" name="Hypothesis ID"/>
    <x:tableColumn id="2" name="Evidence stream"/>
    <x:tableColumn id="3" name="Proposed hypothesis"/>
    <x:tableColumn id="4" name="Observed pattern / limits"/>
    <x:tableColumn id="5" name="Proposed test"/>
    <x:tableColumn id="6" name="What would weaken it"/>
    <x:tableColumn id="7" name="Analysis readiness"/>
    <x:tableColumn id="8" name="Research priority"/>
    <x:tableColumn id="9" name="Population and need"/>
    <x:tableColumn id="10" name="Exposure"/>
    <x:tableColumn id="11" name="Comparator"/>
    <x:tableColumn id="12" name="Primary / secondary outcomes"/>
    <x:tableColumn id="13" name="Alternative explanations"/>
    <x:tableColumn id="14" name="Next step"/>
    <x:tableColumn id="15" name="Supporting / motivating studies"/>
    <x:tableColumn id="16" name="Counterevidence / qualification"/>
    <x:tableColumn id="17" name="PMIDs (study ID: PMID)"/>
    <x:tableColumn id="18" name="Research notes"/>
    <x:tableColumn id="19" name="Policy source IDs"/>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f08819d19a4a55" /></Relationships>
</file>

<file path=xl/worksheets/_rels/sheet2.xml.rels><?xml version='1.0' encoding='UTF-8' standalone='yes'?>
<Relationships xmlns="http://schemas.openxmlformats.org/package/2006/relationships"><Relationship Type="http://schemas.openxmlformats.org/officeDocument/2006/relationships/hyperlink" Target="https://www.myprime.com/content/dam/prime/memberportal/WebDocs/2026/Formularies/MedD/2026%20Blue%20Medicare%20Essential%20Plus%20%28HMO-POS%29%20Formulary.pdf" TargetMode="External" Id="R23a3aaf92b9b4ae6"/><Relationship Type="http://schemas.openxmlformats.org/officeDocument/2006/relationships/hyperlink" Target="https://www.myprime.com/content/dam/prime/memberportal/WebDocs/2026/Formularies/MedD/2026%20Blue%20Medicare%20Essential%20Plus%20%28HMO-POS%29%20Formulary.pdf" TargetMode="External" Id="R8afca3be7942474f"/><Relationship Type="http://schemas.openxmlformats.org/officeDocument/2006/relationships/hyperlink" Target="https://www.myprime.com/content/dam/prime/memberportal/WebDocs/2026/Formularies/MedD/2026%20Blue%20Medicare%20Essential%20Plus%20%28HMO-POS%29%20Formulary.pdf" TargetMode="External" Id="Rceb1a3391b6b417e"/><Relationship Type="http://schemas.openxmlformats.org/officeDocument/2006/relationships/hyperlink" Target="https://www.myprime.com/content/dam/prime/memberportal/WebDocs/2026/Formularies/MedD/2026%20Blue%20Medicare%20Essential%20Plus%20%28HMO-POS%29%20Formulary.pdf" TargetMode="External" Id="R9698005b85964489"/><Relationship Type="http://schemas.openxmlformats.org/officeDocument/2006/relationships/hyperlink" Target="https://www.myprime.com/content/dam/prime/memberportal/WebDocs/2026/Formularies/MedD/2026%20Blue%20Medicare%20Essential%20Plus%20%28HMO-POS%29%20Formulary.pdf" TargetMode="External" Id="R13755b7780e24ebe"/><Relationship Type="http://schemas.openxmlformats.org/officeDocument/2006/relationships/hyperlink" Target="https://www.fda.gov/drugs/drug-safety-communications/fda-adds-warning-about-rare-occurrence-serious-liver-injury-use-veozah-fezolinetant-hot-flashes-due" TargetMode="External" Id="Rb83856ddd48641a3"/><Relationship Type="http://schemas.openxmlformats.org/officeDocument/2006/relationships/hyperlink" Target="https://data.cms.gov/sites/default/files/2026-08/d8c9b393-66f0-4973-a748-f66742fe0fd2/2026_20260819.zip" TargetMode="External" Id="Rabe818fe473e4a12"/><Relationship Type="http://schemas.openxmlformats.org/officeDocument/2006/relationships/hyperlink" Target="https://data.cms.gov/sites/default/files/2026-08/d8c9b393-66f0-4973-a748-f66742fe0fd2/2026_20260819.zip" TargetMode="External" Id="Re87f1028a95e4026"/><Relationship Type="http://schemas.openxmlformats.org/officeDocument/2006/relationships/hyperlink" Target="https://data.cms.gov/sites/default/files/2026-08/d8c9b393-66f0-4973-a748-f66742fe0fd2/2026_20260819.zip" TargetMode="External" Id="R6dc453b4cd544106"/><Relationship Type="http://schemas.openxmlformats.org/officeDocument/2006/relationships/hyperlink" Target="https://www.ssa.gov/OP_Home/ssact/title18/1860D-02.htm" TargetMode="External" Id="Rbc2fff86d7ea410e"/><Relationship Type="http://schemas.openxmlformats.org/officeDocument/2006/relationships/hyperlink" Target="https://www.cms.gov/Medicare/Prescription-Drug-Coverage/PrescriptionDrugCovContra/Downloads/QAEDDrugs_070606.pdf" TargetMode="External" Id="R12471420786a4541"/><Relationship Type="http://schemas.openxmlformats.org/officeDocument/2006/relationships/hyperlink" Target="https://www.ssa.gov/OP_Home/ssact/title18/1860D-02.htm" TargetMode="External" Id="R59a3556e13094cb9"/><Relationship Type="http://schemas.openxmlformats.org/officeDocument/2006/relationships/hyperlink" Target="https://www.accessdata.fda.gov/drugsatfda_docs/label/2025/022526s013lbl.pdf" TargetMode="External" Id="R9782f62b00994c53"/><Relationship Type="http://schemas.openxmlformats.org/officeDocument/2006/relationships/hyperlink" Target="https://www.ssa.gov/OP_Home/ssact/title18/1860D-02.htm" TargetMode="External" Id="Rcb6bb3bd19594a34"/><Relationship Type="http://schemas.openxmlformats.org/officeDocument/2006/relationships/hyperlink" Target="https://dailymed.nlm.nih.gov/dailymed/drugInfo.cfm?setid=f1d0c1b5-2f39-4bad-a6a4-0066e3ad5dcf" TargetMode="External" Id="Rdc1e7f17d5914636"/><Relationship Type="http://schemas.openxmlformats.org/officeDocument/2006/relationships/hyperlink" Target="https://www.myprime.com/content/dam/prime/memberportal/WebDocs/2026/Formularies/MedD/2026%20Blue%20Medicare%20Essential%20Plus%20%28HMO-POS%29%20Formulary.pdf" TargetMode="External" Id="Rdd8260395549405c"/><Relationship Type="http://schemas.openxmlformats.org/officeDocument/2006/relationships/hyperlink" Target="https://www.fda.gov/drugs/postmarket-drug-safety-information-patients-and-providers/testosterone-information" TargetMode="External" Id="R24ed485301eb4073"/><Relationship Type="http://schemas.openxmlformats.org/officeDocument/2006/relationships/hyperlink" Target="https://www.medicare.gov/coverage/surgery" TargetMode="External" Id="R6301980d9ff64801"/><Relationship Type="http://schemas.openxmlformats.org/officeDocument/2006/relationships/hyperlink" Target="https://www.medicare.gov/coverage/surgery" TargetMode="External" Id="R573d96bad2254e33"/><Relationship Type="http://schemas.openxmlformats.org/officeDocument/2006/relationships/hyperlink" Target="https://www.cms.gov/medicare-coverage-database/view/ncd.aspx?ncdid=64" TargetMode="External" Id="R6122c95ca79f4137"/><Relationship Type="http://schemas.openxmlformats.org/officeDocument/2006/relationships/hyperlink" Target="https://www.medicare.gov/coverage/breast-prostheses" TargetMode="External" Id="R9aa42e09d4a44ce2"/><Relationship Type="http://schemas.openxmlformats.org/officeDocument/2006/relationships/hyperlink" Target="https://www.cms.gov/medicare-coverage-database/view/ncd.aspx?ncdid=64" TargetMode="External" Id="R4096b52e413040a4"/><Relationship Type="http://schemas.openxmlformats.org/officeDocument/2006/relationships/hyperlink" Target="https://www.cms.gov/medicare-coverage-database/view/lcd.aspx?LCDId=38914" TargetMode="External" Id="R48fff24d7d024a7c"/><Relationship Type="http://schemas.openxmlformats.org/officeDocument/2006/relationships/hyperlink" Target="https://www.cms.gov/medicare-coverage-database/view/lcd.aspx?LCDId=38914" TargetMode="External" Id="R397c16490a9e474a"/><Relationship Type="http://schemas.openxmlformats.org/officeDocument/2006/relationships/hyperlink" Target="https://www.cms.gov/medicare-coverage-database/view/ncd.aspx?ncdid=42" TargetMode="External" Id="R60a155aa90504f0a"/><Relationship Type="http://schemas.openxmlformats.org/officeDocument/2006/relationships/hyperlink" Target="https://www.cms.gov/medicare-coverage-database/view/ncd.aspx?ncdid=42" TargetMode="External" Id="R16ec750456874d38"/><Relationship Type="http://schemas.openxmlformats.org/officeDocument/2006/relationships/hyperlink" Target="https://www.cms.gov/medicare-coverage-database/view/ncd.aspx?ncdid=249" TargetMode="External" Id="R18b96d98ad6546cf"/><Relationship Type="http://schemas.openxmlformats.org/officeDocument/2006/relationships/hyperlink" Target="https://www.cms.gov/medicare-coverage-database/view/ncd.aspx?ncdid=231" TargetMode="External" Id="R721c89a8fa5048fb"/><Relationship Type="http://schemas.openxmlformats.org/officeDocument/2006/relationships/hyperlink" Target="https://www.cms.gov/medicare-coverage-database/view/article.aspx?articleid=56566" TargetMode="External" Id="R61191306a00b4be0"/><Relationship Type="http://schemas.openxmlformats.org/officeDocument/2006/relationships/hyperlink" Target="https://www.medicare.gov/coverage/surgery" TargetMode="External" Id="Rfae0da1fe2ee411f"/><Relationship Type="http://schemas.openxmlformats.org/officeDocument/2006/relationships/hyperlink" Target="https://www.medicare.gov/coverage/surgery" TargetMode="External" Id="Rd8a56707381e4dab"/><Relationship Type="http://schemas.openxmlformats.org/officeDocument/2006/relationships/hyperlink" Target="https://www.medicare.gov/coverage/bone-mass-measurements" TargetMode="External" Id="R064ddc6472264d05"/><Relationship Type="http://schemas.openxmlformats.org/officeDocument/2006/relationships/hyperlink" Target="https://www.medicare.gov/coverage/bone-mass-measurements" TargetMode="External" Id="Re961ae02829a419f"/><Relationship Type="http://schemas.openxmlformats.org/officeDocument/2006/relationships/hyperlink" Target="https://www.medicare.gov/coverage/mammograms" TargetMode="External" Id="Ra05a50cdfd0e4504"/><Relationship Type="http://schemas.openxmlformats.org/officeDocument/2006/relationships/hyperlink" Target="https://www.medicare.gov/coverage/prostate-cancer-screenings" TargetMode="External" Id="R5eaef95b2b194e1f"/><Relationship Type="http://schemas.openxmlformats.org/officeDocument/2006/relationships/hyperlink" Target="https://www.cms.gov/medicare-coverage-database/view/article.aspx?articleid=55951" TargetMode="External" Id="Rddf356b8e45f495b"/><Relationship Type="http://schemas.openxmlformats.org/officeDocument/2006/relationships/hyperlink" Target="https://www.medicare.gov/coverage/cervical-vaginal-cancer-screenings" TargetMode="External" Id="Rcd6bc91723cb49b7"/><Relationship Type="http://schemas.openxmlformats.org/officeDocument/2006/relationships/hyperlink" Target="https://www.cms.gov/medicare-coverage-database/view/article.aspx?articleid=55951" TargetMode="External" Id="Rbc8c570b2fc24241"/><Relationship Type="http://schemas.openxmlformats.org/officeDocument/2006/relationships/hyperlink" Target="https://www.cms.gov/Regulations-and-Guidance/Guidance/Manuals/Downloads/bp102c15.pdf" TargetMode="External" Id="Rbe87b2dd25be413b"/><Relationship Type="http://schemas.openxmlformats.org/officeDocument/2006/relationships/hyperlink" Target="https://www.cms.gov/Regulations-and-Guidance/Guidance/Manuals/Downloads/bp102c15.pdf" TargetMode="External" Id="Rfc61ac8f08864ab6"/><Relationship Type="http://schemas.openxmlformats.org/officeDocument/2006/relationships/hyperlink" Target="https://www.cms.gov/medicare-coverage-database/view/ncd.aspx?ncdid=13" TargetMode="External" Id="Rdf2a6376b17c4b08"/><Relationship Type="http://schemas.openxmlformats.org/officeDocument/2006/relationships/hyperlink" Target="https://www.medicare.gov/coverage/prescription-drugs-outpatient" TargetMode="External" Id="R02a9edd2a6d44cfd"/><Relationship Type="http://schemas.openxmlformats.org/officeDocument/2006/relationships/hyperlink" Target="https://www.cms.gov/Medicare/Prescription-Drug-Coverage/PrescriptionDrugCovContra/Downloads/Part-D-Benefits-Manual-Chapter-6.pdf" TargetMode="External" Id="R394773667abd44f2"/><Relationship Type="http://schemas.openxmlformats.org/officeDocument/2006/relationships/hyperlink" Target="https://www.medicare.gov/coverage/lymphedema-compression-treatment-items" TargetMode="External" Id="Rbbc738e99f4148cf"/><Relationship Type="http://schemas.openxmlformats.org/officeDocument/2006/relationships/hyperlink" Target="https://www.cms.gov/medicare/regulations-guidance/transmittals/2024-transmittals/r12532bp" TargetMode="External" Id="R70edaaa14aed485e"/><Relationship Type="http://schemas.openxmlformats.org/officeDocument/2006/relationships/hyperlink" Target="https://www.cms.gov/medicare-coverage-database/view/ncd.aspx?NCDId=225" TargetMode="External" Id="Rd2f9fb9db19e4dd1"/><Relationship Type="http://schemas.openxmlformats.org/officeDocument/2006/relationships/table" Target="/xl/tables/table1.xml" Id="Rb868bb1afc0c49eb"/></Relationships>
</file>

<file path=xl/worksheets/_rels/sheet4.xml.rels><?xml version='1.0' encoding='UTF-8' standalone='yes'?>
<Relationships xmlns="http://schemas.openxmlformats.org/package/2006/relationships"><Relationship Type="http://schemas.openxmlformats.org/officeDocument/2006/relationships/hyperlink" Target="https://pubmed.ncbi.nlm.nih.gov/39978776/" TargetMode="External" Id="R406f27294af64bbc"/><Relationship Type="http://schemas.openxmlformats.org/officeDocument/2006/relationships/hyperlink" Target="https://pubmed.ncbi.nlm.nih.gov/38758183/" TargetMode="External" Id="R0ebefdc19db14e44"/><Relationship Type="http://schemas.openxmlformats.org/officeDocument/2006/relationships/hyperlink" Target="https://pubmed.ncbi.nlm.nih.gov/34736273/" TargetMode="External" Id="Rc74707711eef49c8"/><Relationship Type="http://schemas.openxmlformats.org/officeDocument/2006/relationships/hyperlink" Target="https://pubmed.ncbi.nlm.nih.gov/34237766/" TargetMode="External" Id="R3636b7ee2f7b4f85"/><Relationship Type="http://schemas.openxmlformats.org/officeDocument/2006/relationships/hyperlink" Target="https://pubmed.ncbi.nlm.nih.gov/9062137/" TargetMode="External" Id="R69a2be61e5cb43c3"/><Relationship Type="http://schemas.openxmlformats.org/officeDocument/2006/relationships/hyperlink" Target="https://pubmed.ncbi.nlm.nih.gov/28024653/" TargetMode="External" Id="Rd2e440520d604ac2"/><Relationship Type="http://schemas.openxmlformats.org/officeDocument/2006/relationships/hyperlink" Target="https://pubmed.ncbi.nlm.nih.gov/42085599/" TargetMode="External" Id="Rbfaca2dcab774323"/><Relationship Type="http://schemas.openxmlformats.org/officeDocument/2006/relationships/hyperlink" Target="https://pubmed.ncbi.nlm.nih.gov/41701182/" TargetMode="External" Id="R9a17e1bc1bc348ca"/><Relationship Type="http://schemas.openxmlformats.org/officeDocument/2006/relationships/hyperlink" Target="https://pubmed.ncbi.nlm.nih.gov/32453268/" TargetMode="External" Id="R5309389c6ba44257"/><Relationship Type="http://schemas.openxmlformats.org/officeDocument/2006/relationships/hyperlink" Target="https://pubmed.ncbi.nlm.nih.gov/32818475/" TargetMode="External" Id="Rf706dc2f7bd6409a"/><Relationship Type="http://schemas.openxmlformats.org/officeDocument/2006/relationships/hyperlink" Target="https://pubmed.ncbi.nlm.nih.gov/38527966/" TargetMode="External" Id="Rcd32be452d8e49cb"/><Relationship Type="http://schemas.openxmlformats.org/officeDocument/2006/relationships/hyperlink" Target="https://pubmed.ncbi.nlm.nih.gov/38595196/" TargetMode="External" Id="R84125fbc6b464109"/><Relationship Type="http://schemas.openxmlformats.org/officeDocument/2006/relationships/hyperlink" Target="https://pubmed.ncbi.nlm.nih.gov/29554173/" TargetMode="External" Id="R0c26ca82d5284768"/><Relationship Type="http://schemas.openxmlformats.org/officeDocument/2006/relationships/hyperlink" Target="https://pubmed.ncbi.nlm.nih.gov/39250810/" TargetMode="External" Id="Rb8b1dac2b9484d7a"/><Relationship Type="http://schemas.openxmlformats.org/officeDocument/2006/relationships/hyperlink" Target="https://pubmed.ncbi.nlm.nih.gov/36924778/" TargetMode="External" Id="R3d9457cc1cc742f8"/><Relationship Type="http://schemas.openxmlformats.org/officeDocument/2006/relationships/hyperlink" Target="https://pubmed.ncbi.nlm.nih.gov/24045678/" TargetMode="External" Id="R124970d3f69445fe"/><Relationship Type="http://schemas.openxmlformats.org/officeDocument/2006/relationships/hyperlink" Target="https://pubmed.ncbi.nlm.nih.gov/26927498/" TargetMode="External" Id="Ra876b3a399e84c75"/><Relationship Type="http://schemas.openxmlformats.org/officeDocument/2006/relationships/hyperlink" Target="https://pubmed.ncbi.nlm.nih.gov/31599840/" TargetMode="External" Id="R23194d78283544ba"/><Relationship Type="http://schemas.openxmlformats.org/officeDocument/2006/relationships/hyperlink" Target="https://pubmed.ncbi.nlm.nih.gov/37326322/" TargetMode="External" Id="Rc61426fabadd4fda"/><Relationship Type="http://schemas.openxmlformats.org/officeDocument/2006/relationships/hyperlink" Target="https://pubmed.ncbi.nlm.nih.gov/12117397/" TargetMode="External" Id="R8911a018c05749dd"/><Relationship Type="http://schemas.openxmlformats.org/officeDocument/2006/relationships/hyperlink" Target="https://pmc.ncbi.nlm.nih.gov/articles/PMC2497454/" TargetMode="External" Id="R8d566f85d8924d6d"/><Relationship Type="http://schemas.openxmlformats.org/officeDocument/2006/relationships/hyperlink" Target="https://pmc.ncbi.nlm.nih.gov/articles/PMC7899217/" TargetMode="External" Id="Rc1363b22c8514a24"/><Relationship Type="http://schemas.openxmlformats.org/officeDocument/2006/relationships/hyperlink" Target="https://pmc.ncbi.nlm.nih.gov/articles/PMC12199052/" TargetMode="External" Id="R53de88a96866491f"/><Relationship Type="http://schemas.openxmlformats.org/officeDocument/2006/relationships/hyperlink" Target="https://pubmed.ncbi.nlm.nih.gov/38190592/" TargetMode="External" Id="Re0e3a3c9877b446b"/><Relationship Type="http://schemas.openxmlformats.org/officeDocument/2006/relationships/hyperlink" Target="https://pubmed.ncbi.nlm.nih.gov/31446591/" TargetMode="External" Id="R8d0260d6f2e64649"/><Relationship Type="http://schemas.openxmlformats.org/officeDocument/2006/relationships/hyperlink" Target="https://pubmed.ncbi.nlm.nih.gov/37285151/" TargetMode="External" Id="R60d4903046e44923"/><Relationship Type="http://schemas.openxmlformats.org/officeDocument/2006/relationships/hyperlink" Target="https://pubmed.ncbi.nlm.nih.gov/31926887/" TargetMode="External" Id="R5c7ee27e53b34bfa"/><Relationship Type="http://schemas.openxmlformats.org/officeDocument/2006/relationships/hyperlink" Target="https://pmc.ncbi.nlm.nih.gov/articles/PMC8427494/" TargetMode="External" Id="R96b8d66857bb4b4f"/><Relationship Type="http://schemas.openxmlformats.org/officeDocument/2006/relationships/hyperlink" Target="https://jamanetwork.com/journals/jamasurgery/fullarticle/2821588" TargetMode="External" Id="Rc9a8f11c7f874a62"/><Relationship Type="http://schemas.openxmlformats.org/officeDocument/2006/relationships/hyperlink" Target="https://pmc.ncbi.nlm.nih.gov/articles/PMC4191131/" TargetMode="External" Id="Rad44f7e8f5bb4573"/><Relationship Type="http://schemas.openxmlformats.org/officeDocument/2006/relationships/hyperlink" Target="https://pmc.ncbi.nlm.nih.gov/articles/PMC7440877/" TargetMode="External" Id="R0bcea3f4a1844732"/><Relationship Type="http://schemas.openxmlformats.org/officeDocument/2006/relationships/hyperlink" Target="https://pmc.ncbi.nlm.nih.gov/articles/PMC7486042/" TargetMode="External" Id="Rcd11db1c22f64df2"/><Relationship Type="http://schemas.openxmlformats.org/officeDocument/2006/relationships/hyperlink" Target="https://www.tandfonline.com/doi/full/10.1080/17441692.2020.1769702" TargetMode="External" Id="Re3a2b67fae5b406c"/><Relationship Type="http://schemas.openxmlformats.org/officeDocument/2006/relationships/hyperlink" Target="https://pmc.ncbi.nlm.nih.gov/articles/PMC8897691/" TargetMode="External" Id="Re4a8ad91a5b54b06"/><Relationship Type="http://schemas.openxmlformats.org/officeDocument/2006/relationships/hyperlink" Target="https://pmc.ncbi.nlm.nih.gov/articles/PMC7735208/" TargetMode="External" Id="Re52ab6a10cda413a"/><Relationship Type="http://schemas.openxmlformats.org/officeDocument/2006/relationships/hyperlink" Target="https://pmc.ncbi.nlm.nih.gov/articles/PMC7930921/" TargetMode="External" Id="R6c9d3b38d5da458e"/><Relationship Type="http://schemas.openxmlformats.org/officeDocument/2006/relationships/hyperlink" Target="https://pubmed.ncbi.nlm.nih.gov/38459983/" TargetMode="External" Id="R2ec42aac87794d5e"/><Relationship Type="http://schemas.openxmlformats.org/officeDocument/2006/relationships/hyperlink" Target="https://pubmed.ncbi.nlm.nih.gov/27884649/" TargetMode="External" Id="R6b647281e7064c52"/><Relationship Type="http://schemas.openxmlformats.org/officeDocument/2006/relationships/hyperlink" Target="https://www.cms.gov/Medicare/Prescription-Drug-Coverage/PrescriptionDrugCovContra/Downloads/QAEDDrugs_070606.pdf" TargetMode="External" Id="R3006853777f34bf9"/><Relationship Type="http://schemas.openxmlformats.org/officeDocument/2006/relationships/hyperlink" Target="https://www.cms.gov/Medicare/Prescription-Drug-Coverage/PrescriptionDrugCovContra/Downloads/QAEDDrugs_070606.pdf" TargetMode="External" Id="R3c44916a7b49403c"/><Relationship Type="http://schemas.openxmlformats.org/officeDocument/2006/relationships/hyperlink" Target="https://www.cms.gov/Medicare/Prescription-Drug-Coverage/PrescriptionDrugCovContra/Downloads/QAEDDrugs_070606.pdf" TargetMode="External" Id="R355aa4f5eb9142dc"/><Relationship Type="http://schemas.openxmlformats.org/officeDocument/2006/relationships/hyperlink" Target="https://www.accessdata.fda.gov/drugsatfda_docs/label/2025/022526s013lbl.pdf" TargetMode="External" Id="R6aac9ae22530488d"/><Relationship Type="http://schemas.openxmlformats.org/officeDocument/2006/relationships/hyperlink" Target="https://www.accessdata.fda.gov/drugsatfda_docs/label/2025/022526s013lbl.pdf" TargetMode="External" Id="Rdf48a3e383134163"/><Relationship Type="http://schemas.openxmlformats.org/officeDocument/2006/relationships/hyperlink" Target="https://www.accessdata.fda.gov/drugsatfda_docs/label/2025/022526s013lbl.pdf" TargetMode="External" Id="Rb2f71fd739684b78"/><Relationship Type="http://schemas.openxmlformats.org/officeDocument/2006/relationships/hyperlink" Target="https://dailymed.nlm.nih.gov/dailymed/drugInfo.cfm?setid=f1d0c1b5-2f39-4bad-a6a4-0066e3ad5dcf" TargetMode="External" Id="R5c32b590455c4538"/><Relationship Type="http://schemas.openxmlformats.org/officeDocument/2006/relationships/hyperlink" Target="https://dailymed.nlm.nih.gov/dailymed/drugInfo.cfm?setid=f1d0c1b5-2f39-4bad-a6a4-0066e3ad5dcf" TargetMode="External" Id="Ra26c908772bf42de"/><Relationship Type="http://schemas.openxmlformats.org/officeDocument/2006/relationships/hyperlink" Target="https://dailymed.nlm.nih.gov/dailymed/drugInfo.cfm?setid=f1d0c1b5-2f39-4bad-a6a4-0066e3ad5dcf" TargetMode="External" Id="Rc2681b05d2fd4b86"/><Relationship Type="http://schemas.openxmlformats.org/officeDocument/2006/relationships/hyperlink" Target="https://www.fda.gov/drugs/drug-safety-communications/fda-adds-warning-about-rare-occurrence-serious-liver-injury-use-veozah-fezolinetant-hot-flashes-due" TargetMode="External" Id="Rb4bdecdfe5424fb8"/><Relationship Type="http://schemas.openxmlformats.org/officeDocument/2006/relationships/hyperlink" Target="https://www.fda.gov/drugs/drug-safety-communications/fda-adds-warning-about-rare-occurrence-serious-liver-injury-use-veozah-fezolinetant-hot-flashes-due" TargetMode="External" Id="Rcd447420788048b9"/><Relationship Type="http://schemas.openxmlformats.org/officeDocument/2006/relationships/hyperlink" Target="https://www.fda.gov/drugs/drug-safety-communications/fda-adds-warning-about-rare-occurrence-serious-liver-injury-use-veozah-fezolinetant-hot-flashes-due" TargetMode="External" Id="R89a2d4242b31402b"/><Relationship Type="http://schemas.openxmlformats.org/officeDocument/2006/relationships/hyperlink" Target="https://www.fda.gov/drugs/drug-safety-and-availability/menopausal-hormone-therapies-updated-prescribing-information" TargetMode="External" Id="R0dd75e5641c541b4"/><Relationship Type="http://schemas.openxmlformats.org/officeDocument/2006/relationships/hyperlink" Target="https://www.fda.gov/drugs/drug-safety-and-availability/menopausal-hormone-therapies-updated-prescribing-information" TargetMode="External" Id="R22ddd8e6365d4085"/><Relationship Type="http://schemas.openxmlformats.org/officeDocument/2006/relationships/hyperlink" Target="https://www.fda.gov/drugs/drug-safety-and-availability/menopausal-hormone-therapies-updated-prescribing-information" TargetMode="External" Id="R83c95056d0684453"/><Relationship Type="http://schemas.openxmlformats.org/officeDocument/2006/relationships/hyperlink" Target="https://www.fda.gov/drugs/postmarket-drug-safety-information-patients-and-providers/testosterone-information" TargetMode="External" Id="Rb904c62c835b40a9"/><Relationship Type="http://schemas.openxmlformats.org/officeDocument/2006/relationships/hyperlink" Target="https://www.fda.gov/drugs/postmarket-drug-safety-information-patients-and-providers/testosterone-information" TargetMode="External" Id="Rc16ff2802818451f"/><Relationship Type="http://schemas.openxmlformats.org/officeDocument/2006/relationships/hyperlink" Target="https://www.fda.gov/drugs/postmarket-drug-safety-information-patients-and-providers/testosterone-information" TargetMode="External" Id="R1d302a89ef2442c5"/><Relationship Type="http://schemas.openxmlformats.org/officeDocument/2006/relationships/hyperlink" Target="https://www.discoverhopbenefits.com/wp-content/uploads/2025/09/PSERS-Doc-114-CompForm_2026_Medicare-Plus_final_accessible.pdf" TargetMode="External" Id="Rbe55b05f0a96474b"/><Relationship Type="http://schemas.openxmlformats.org/officeDocument/2006/relationships/hyperlink" Target="https://www.discoverhopbenefits.com/wp-content/uploads/2025/09/PSERS-Doc-114-CompForm_2026_Medicare-Plus_final_accessible.pdf" TargetMode="External" Id="Rc7d4d2a005354c12"/><Relationship Type="http://schemas.openxmlformats.org/officeDocument/2006/relationships/hyperlink" Target="https://www.discoverhopbenefits.com/wp-content/uploads/2025/09/PSERS-Doc-114-CompForm_2026_Medicare-Plus_final_accessible.pdf" TargetMode="External" Id="Rfeb6b6c94dc34363"/><Relationship Type="http://schemas.openxmlformats.org/officeDocument/2006/relationships/hyperlink" Target="https://www.cms.gov/medicare/appeals-grievances/prescription-drug/exceptions" TargetMode="External" Id="Rba4e5e9d3fce463d"/><Relationship Type="http://schemas.openxmlformats.org/officeDocument/2006/relationships/hyperlink" Target="https://www.cms.gov/medicare/appeals-grievances/prescription-drug/exceptions" TargetMode="External" Id="R64c1e9e2c56c4885"/><Relationship Type="http://schemas.openxmlformats.org/officeDocument/2006/relationships/hyperlink" Target="https://www.cms.gov/medicare/appeals-grievances/prescription-drug/exceptions" TargetMode="External" Id="Rf37eb03291504042"/><Relationship Type="http://schemas.openxmlformats.org/officeDocument/2006/relationships/hyperlink" Target="https://www.cms.gov/Research-Statistics-Data-and-Systems/Statistics-Trends-and-Reports/NationalHealthExpendData/Downloads/AgeandGenderHighlights.pdf" TargetMode="External" Id="Rf43a928e182c4c6f"/><Relationship Type="http://schemas.openxmlformats.org/officeDocument/2006/relationships/hyperlink" Target="https://www.cms.gov/Research-Statistics-Data-and-Systems/Statistics-Trends-and-Reports/NationalHealthExpendData/Downloads/AgeandGenderHighlights.pdf" TargetMode="External" Id="R70c411132f9d4f6b"/><Relationship Type="http://schemas.openxmlformats.org/officeDocument/2006/relationships/hyperlink" Target="https://www.cms.gov/Research-Statistics-Data-and-Systems/Statistics-Trends-and-Reports/NationalHealthExpendData/Downloads/AgeandGenderHighlights.pdf" TargetMode="External" Id="Rd5bde3153b324ee1"/><Relationship Type="http://schemas.openxmlformats.org/officeDocument/2006/relationships/hyperlink" Target="https://www.cms.gov/data-research/statistics-trends-and-reports/national-health-expenditure-data/nhe-fact-sheet" TargetMode="External" Id="R6f4360495435487b"/><Relationship Type="http://schemas.openxmlformats.org/officeDocument/2006/relationships/hyperlink" Target="https://www.cms.gov/data-research/statistics-trends-and-reports/national-health-expenditure-data/nhe-fact-sheet" TargetMode="External" Id="R6a2bf8a8ec064908"/><Relationship Type="http://schemas.openxmlformats.org/officeDocument/2006/relationships/hyperlink" Target="https://www.cms.gov/data-research/statistics-trends-and-reports/national-health-expenditure-data/nhe-fact-sheet" TargetMode="External" Id="Rb47d8bb8f8d7404e"/><Relationship Type="http://schemas.openxmlformats.org/officeDocument/2006/relationships/hyperlink" Target="https://www.medicare.gov/basics/get-started-with-medicare" TargetMode="External" Id="Rfafa1098a15e421a"/><Relationship Type="http://schemas.openxmlformats.org/officeDocument/2006/relationships/hyperlink" Target="https://www.medicare.gov/basics/get-started-with-medicare" TargetMode="External" Id="R47c0a1045b84402a"/><Relationship Type="http://schemas.openxmlformats.org/officeDocument/2006/relationships/hyperlink" Target="https://www.medicare.gov/basics/get-started-with-medicare" TargetMode="External" Id="R4b2e60667dd748a4"/><Relationship Type="http://schemas.openxmlformats.org/officeDocument/2006/relationships/hyperlink" Target="https://www.cdc.gov/nchs/data/nhsr/nhsr184.pdf" TargetMode="External" Id="R7c9d909b93774da7"/><Relationship Type="http://schemas.openxmlformats.org/officeDocument/2006/relationships/hyperlink" Target="https://www.cdc.gov/nchs/data/nhsr/nhsr184.pdf" TargetMode="External" Id="R600ab8593d534d95"/><Relationship Type="http://schemas.openxmlformats.org/officeDocument/2006/relationships/hyperlink" Target="https://www.cdc.gov/nchs/data/nhsr/nhsr184.pdf" TargetMode="External" Id="R804a5255d0834415"/><Relationship Type="http://schemas.openxmlformats.org/officeDocument/2006/relationships/table" Target="/xl/tables/table2.xml" Id="R5d6f18d6d42c40cc"/></Relationships>
</file>

<file path=xl/worksheets/_rels/sheet5.xml.rels><?xml version='1.0' encoding='UTF-8' standalone='yes'?>
<Relationships xmlns="http://schemas.openxmlformats.org/package/2006/relationships"><Relationship Type="http://schemas.openxmlformats.org/officeDocument/2006/relationships/hyperlink" Target="https://data.cms.gov/sites/default/files/2026-08/d8c9b393-66f0-4973-a748-f66742fe0fd2/2026_20260819.zip" TargetMode="External" Id="Rd396e310cf5b4382"/><Relationship Type="http://schemas.openxmlformats.org/officeDocument/2006/relationships/hyperlink" Target="https://data.cms.gov/sites/default/files/2026-08/d8c9b393-66f0-4973-a748-f66742fe0fd2/2026_20260819.zip" TargetMode="External" Id="Rce83031a918f440e"/><Relationship Type="http://schemas.openxmlformats.org/officeDocument/2006/relationships/hyperlink" Target="https://data.cms.gov/sites/default/files/2026-08/d8c9b393-66f0-4973-a748-f66742fe0fd2/2026_20260819.zip" TargetMode="External" Id="R15baa2205a614da1"/><Relationship Type="http://schemas.openxmlformats.org/officeDocument/2006/relationships/hyperlink" Target="https://data.cms.gov/sites/default/files/2026-08/d8c9b393-66f0-4973-a748-f66742fe0fd2/2026_20260819.zip" TargetMode="External" Id="R5f488b4415044978"/><Relationship Type="http://schemas.openxmlformats.org/officeDocument/2006/relationships/hyperlink" Target="https://data.cms.gov/sites/default/files/2026-08/d8c9b393-66f0-4973-a748-f66742fe0fd2/2026_20260819.zip" TargetMode="External" Id="Rb7a1ffe4af58434f"/><Relationship Type="http://schemas.openxmlformats.org/officeDocument/2006/relationships/hyperlink" Target="https://data.cms.gov/sites/default/files/2026-08/d8c9b393-66f0-4973-a748-f66742fe0fd2/2026_20260819.zip" TargetMode="External" Id="R1879078bd0954b27"/><Relationship Type="http://schemas.openxmlformats.org/officeDocument/2006/relationships/hyperlink" Target="https://data.cms.gov/sites/default/files/2026-08/d8c9b393-66f0-4973-a748-f66742fe0fd2/2026_20260819.zip" TargetMode="External" Id="R1ea4dc5658dd417e"/><Relationship Type="http://schemas.openxmlformats.org/officeDocument/2006/relationships/hyperlink" Target="https://data.cms.gov/sites/default/files/2026-08/d8c9b393-66f0-4973-a748-f66742fe0fd2/2026_20260819.zip" TargetMode="External" Id="R539eba1fa5684482"/><Relationship Type="http://schemas.openxmlformats.org/officeDocument/2006/relationships/hyperlink" Target="https://data.cms.gov/sites/default/files/2026-08/d8c9b393-66f0-4973-a748-f66742fe0fd2/2026_20260819.zip" TargetMode="External" Id="R0bed339d36bc4aac"/><Relationship Type="http://schemas.openxmlformats.org/officeDocument/2006/relationships/hyperlink" Target="https://data.cms.gov/sites/default/files/2026-08/d8c9b393-66f0-4973-a748-f66742fe0fd2/2026_20260819.zip" TargetMode="External" Id="R78edcf16de7e44fa"/><Relationship Type="http://schemas.openxmlformats.org/officeDocument/2006/relationships/hyperlink" Target="https://data.cms.gov/sites/default/files/2026-08/d8c9b393-66f0-4973-a748-f66742fe0fd2/2026_20260819.zip" TargetMode="External" Id="R78303ee0018e4428"/><Relationship Type="http://schemas.openxmlformats.org/officeDocument/2006/relationships/hyperlink" Target="https://data.cms.gov/sites/default/files/2026-08/d8c9b393-66f0-4973-a748-f66742fe0fd2/2026_20260819.zip" TargetMode="External" Id="R21d7746531c34874"/><Relationship Type="http://schemas.openxmlformats.org/officeDocument/2006/relationships/hyperlink" Target="https://data.cms.gov/sites/default/files/2026-08/d8c9b393-66f0-4973-a748-f66742fe0fd2/2026_20260819.zip" TargetMode="External" Id="R6e4d1dc584de446d"/><Relationship Type="http://schemas.openxmlformats.org/officeDocument/2006/relationships/hyperlink" Target="https://www.cms.gov/files/zip/cy-2026-august-formulary-reference-file.zip" TargetMode="External" Id="R2c13a7553f7b43d6"/><Relationship Type="http://schemas.openxmlformats.org/officeDocument/2006/relationships/table" Target="/xl/tables/table3.xml" Id="R43ab14df2ee04969"/></Relationships>
</file>

<file path=xl/worksheets/_rels/sheet6.xml.rels><?xml version='1.0' encoding='UTF-8' standalone='yes'?>
<Relationships xmlns="http://schemas.openxmlformats.org/package/2006/relationships"><Relationship Type="http://schemas.openxmlformats.org/officeDocument/2006/relationships/hyperlink" Target="https://www.cms.gov/medicare/payment/fee-schedules/physician/pfs-relative-value-files/rvu26c" TargetMode="External" Id="Rb1409c35419b4ca0"/><Relationship Type="http://schemas.openxmlformats.org/officeDocument/2006/relationships/hyperlink" Target="https://pubmed.ncbi.nlm.nih.gov/38758183/" TargetMode="External" Id="Rc598a5046e534fa5"/><Relationship Type="http://schemas.openxmlformats.org/officeDocument/2006/relationships/hyperlink" Target="https://www.cms.gov/medicare/payment/fee-schedules/physician/pfs-relative-value-files/rvu26c" TargetMode="External" Id="Ra30e2fe4419e439c"/><Relationship Type="http://schemas.openxmlformats.org/officeDocument/2006/relationships/hyperlink" Target="https://pubmed.ncbi.nlm.nih.gov/38758183/" TargetMode="External" Id="R5a43605da0a646e2"/><Relationship Type="http://schemas.openxmlformats.org/officeDocument/2006/relationships/hyperlink" Target="https://www.cms.gov/medicare/payment/fee-schedules/physician/pfs-relative-value-files/rvu26c" TargetMode="External" Id="Rce40ef150c2d40d0"/><Relationship Type="http://schemas.openxmlformats.org/officeDocument/2006/relationships/hyperlink" Target="https://pubmed.ncbi.nlm.nih.gov/38758183/" TargetMode="External" Id="Ra628b73adfcc44e3"/><Relationship Type="http://schemas.openxmlformats.org/officeDocument/2006/relationships/hyperlink" Target="https://www.cms.gov/medicare/payment/fee-schedules/physician/pfs-relative-value-files/rvu26c" TargetMode="External" Id="R12da4147cb9345c9"/><Relationship Type="http://schemas.openxmlformats.org/officeDocument/2006/relationships/hyperlink" Target="https://pubmed.ncbi.nlm.nih.gov/38758183/" TargetMode="External" Id="R0a50e13e22594d50"/><Relationship Type="http://schemas.openxmlformats.org/officeDocument/2006/relationships/hyperlink" Target="https://www.cms.gov/medicare/payment/fee-schedules/physician/pfs-relative-value-files/rvu26c" TargetMode="External" Id="Rf70866086d1a440b"/><Relationship Type="http://schemas.openxmlformats.org/officeDocument/2006/relationships/hyperlink" Target="https://pubmed.ncbi.nlm.nih.gov/38758183/" TargetMode="External" Id="R52bd29ce1d3742fb"/><Relationship Type="http://schemas.openxmlformats.org/officeDocument/2006/relationships/table" Target="/xl/tables/table4.xml" Id="Reda32eab2eb54911"/></Relationships>
</file>

<file path=xl/worksheets/_rels/sheet7.xml.rels><?xml version='1.0' encoding='UTF-8' standalone='yes'?>
<Relationships xmlns="http://schemas.openxmlformats.org/package/2006/relationships"><Relationship Type="http://schemas.openxmlformats.org/officeDocument/2006/relationships/hyperlink" Target="https://www.cms.gov/medicare-coverage-database/view/ncd.aspx?ncdid=368&amp;ncdver=1" TargetMode="External" Id="R1f6e62426cb84bc0"/><Relationship Type="http://schemas.openxmlformats.org/officeDocument/2006/relationships/hyperlink" Target="https://www.medicare.gov/coverage/prescription-drugs-outpatient" TargetMode="External" Id="Ra56c766264174a2d"/><Relationship Type="http://schemas.openxmlformats.org/officeDocument/2006/relationships/hyperlink" Target="https://www.cms.gov/Regulations-and-Guidance/Guidance/Manuals/downloads/clm104c32.pdf" TargetMode="External" Id="Ra0447f4147a249f4"/><Relationship Type="http://schemas.openxmlformats.org/officeDocument/2006/relationships/hyperlink" Target="https://pmc.ncbi.nlm.nih.gov/articles/PMC5367475/" TargetMode="External" Id="Rdff6f838b3554737"/><Relationship Type="http://schemas.openxmlformats.org/officeDocument/2006/relationships/hyperlink" Target="https://pmc.ncbi.nlm.nih.gov/articles/PMC8082431/" TargetMode="External" Id="Re4d8ce74c6dc4347"/><Relationship Type="http://schemas.openxmlformats.org/officeDocument/2006/relationships/hyperlink" Target="https://pubmed.ncbi.nlm.nih.gov/33644622/" TargetMode="External" Id="Rdb326909a4424442"/><Relationship Type="http://schemas.openxmlformats.org/officeDocument/2006/relationships/hyperlink" Target="https://pubmed.ncbi.nlm.nih.gov/38663835/" TargetMode="External" Id="Rf39d2576cc3e4eff"/><Relationship Type="http://schemas.openxmlformats.org/officeDocument/2006/relationships/hyperlink" Target="https://pubmed.ncbi.nlm.nih.gov/38353948/" TargetMode="External" Id="R8aa40af3f42546a6"/><Relationship Type="http://schemas.openxmlformats.org/officeDocument/2006/relationships/hyperlink" Target="https://pubmed.ncbi.nlm.nih.gov/25455121/" TargetMode="External" Id="R7206885092114d5b"/><Relationship Type="http://schemas.openxmlformats.org/officeDocument/2006/relationships/hyperlink" Target="https://pmc.ncbi.nlm.nih.gov/articles/PMC7280420/" TargetMode="External" Id="R5f8ee9a213fd4270"/><Relationship Type="http://schemas.openxmlformats.org/officeDocument/2006/relationships/hyperlink" Target="https://pmc.ncbi.nlm.nih.gov/articles/PMC12046427/" TargetMode="External" Id="R8aa6be6fa0fb4be2"/><Relationship Type="http://schemas.openxmlformats.org/officeDocument/2006/relationships/table" Target="/xl/tables/table5.xml" Id="R6816e24807ae4279"/></Relationships>
</file>

<file path=xl/worksheets/_rels/sheet8.xml.rels>&#65279;<?xml version="1.0" encoding="utf-8"?><Relationships xmlns="http://schemas.openxmlformats.org/package/2006/relationships"><Relationship Type="http://schemas.openxmlformats.org/officeDocument/2006/relationships/table" Target="/xl/tables/table6.xml" Id="Rda90aa424bd24921"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33203125" style="27" customWidth="1"/>
    <x:col min="2" max="2" width="20" style="27" customWidth="1"/>
    <x:col min="3" max="5" width="11" style="27" customWidth="1"/>
    <x:col min="6" max="17" width="13" style="27" customWidth="1"/>
    <x:col min="18" max="16384" width="8.83203125" style="27" customWidth="0"/>
  </x:cols>
  <x:sheetData>
    <x:row r="2" ht="24" customHeight="1">
      <x:c r="B2" s="208" t="str">
        <x:v>Medicare care for men and women</x:v>
      </x:c>
      <x:c r="C2" s="208" t="str">
        <x:v>Medicare gender-related care</x:v>
      </x:c>
      <x:c r="D2" s="208" t="str">
        <x:v>Medicare gender-related care</x:v>
      </x:c>
      <x:c r="E2" s="208" t="str">
        <x:v>Medicare gender-related care</x:v>
      </x:c>
      <x:c r="F2" s="208" t="str">
        <x:v>Medicare gender-related care</x:v>
      </x:c>
      <x:c r="G2" s="208" t="str">
        <x:v>Medicare gender-related care</x:v>
      </x:c>
      <x:c r="H2" s="208" t="str">
        <x:v>Medicare gender-related care</x:v>
      </x:c>
      <x:c r="I2" s="208" t="str">
        <x:v>Medicare gender-related care</x:v>
      </x:c>
      <x:c r="J2" s="149" t="str">
        <x:v>POLICIES REVIEWED</x:v>
      </x:c>
      <x:c r="K2" s="150"/>
      <x:c r="L2" s="150"/>
      <x:c r="M2" s="151"/>
      <x:c r="N2" s="149" t="str">
        <x:v>PUBLIC FORMULARY SNAPSHOT</x:v>
      </x:c>
      <x:c r="O2" s="150"/>
      <x:c r="P2" s="150"/>
      <x:c r="Q2" s="151"/>
    </x:row>
    <x:row r="3" ht="24" customHeight="1">
      <x:c r="B3" s="152" t="str">
        <x:v>Medicare as a benchmark for equitable care in later life</x:v>
      </x:c>
      <x:c r="C3" s="152"/>
      <x:c r="D3" s="152"/>
      <x:c r="E3" s="152"/>
      <x:c r="F3" s="152"/>
      <x:c r="G3" s="152"/>
      <x:c r="H3" s="152"/>
      <x:c r="I3" s="152"/>
      <x:c r="J3" s="210" t="n">
        <x:v>46281.5</x:v>
      </x:c>
      <x:c r="K3" s="154"/>
      <x:c r="L3" s="154"/>
      <x:c r="M3" s="155"/>
      <x:c r="N3" s="153" t="str">
        <x:v>August 2026</x:v>
      </x:c>
      <x:c r="O3" s="154"/>
      <x:c r="P3" s="154"/>
      <x:c r="Q3" s="155"/>
    </x:row>
    <x:row r="4" ht="20" customHeight="1">
      <x:c r="B4" s="209" t="str">
        <x:v>Cisgender women and men. Anatomy, physiology and eligibility are distinguished below.</x:v>
      </x:c>
      <x:c r="C4" s="209"/>
      <x:c r="D4" s="209"/>
      <x:c r="E4" s="209"/>
      <x:c r="F4" s="209"/>
      <x:c r="G4" s="209"/>
      <x:c r="H4" s="209"/>
      <x:c r="I4" s="209"/>
      <x:c r="J4" s="156"/>
      <x:c r="K4" s="156"/>
      <x:c r="L4" s="156"/>
      <x:c r="M4" s="156"/>
      <x:c r="N4" s="156"/>
      <x:c r="O4" s="156"/>
      <x:c r="P4" s="156"/>
      <x:c r="Q4" s="156"/>
    </x:row>
    <x:row r="5" ht="20" customHeight="1">
      <x:c r="B5" s="263" t="str">
        <x:v>CARE ITEMS</x:v>
      </x:c>
      <x:c r="C5" s="254"/>
      <x:c r="D5" s="254"/>
      <x:c r="E5" s="255"/>
      <x:c r="F5" s="263" t="str">
        <x:v>SCIENTIFIC RECORDS</x:v>
      </x:c>
      <x:c r="G5" s="254"/>
      <x:c r="H5" s="254"/>
      <x:c r="I5" s="255"/>
      <x:c r="J5" s="263" t="str">
        <x:v>ITEMS WITH STUDIES</x:v>
      </x:c>
      <x:c r="K5" s="254"/>
      <x:c r="L5" s="254"/>
      <x:c r="M5" s="255"/>
      <x:c r="N5" s="263" t="str">
        <x:v>POLICY-ONLY ITEMS</x:v>
      </x:c>
      <x:c r="O5" s="254"/>
      <x:c r="P5" s="254"/>
      <x:c r="Q5" s="255"/>
    </x:row>
    <x:row r="6" ht="27" customHeight="1">
      <x:c r="B6" s="265" t="n">
        <x:f>'_Chart Helpers'!N2</x:f>
        <x:v>40</x:v>
      </x:c>
      <x:c r="C6" s="257"/>
      <x:c r="D6" s="257"/>
      <x:c r="E6" s="258"/>
      <x:c r="F6" s="265" t="n">
        <x:f>'_Chart Helpers'!N3</x:f>
        <x:v>38</x:v>
      </x:c>
      <x:c r="G6" s="257"/>
      <x:c r="H6" s="257"/>
      <x:c r="I6" s="258"/>
      <x:c r="J6" s="265" t="n">
        <x:f>'_Chart Helpers'!N4</x:f>
        <x:v>26</x:v>
      </x:c>
      <x:c r="K6" s="277"/>
      <x:c r="L6" s="277"/>
      <x:c r="M6" s="278"/>
      <x:c r="N6" s="265" t="n">
        <x:f>'_Chart Helpers'!N5</x:f>
        <x:v>14</x:v>
      </x:c>
      <x:c r="O6" s="277"/>
      <x:c r="P6" s="277"/>
      <x:c r="Q6" s="278"/>
    </x:row>
    <x:row r="7" ht="27" customHeight="1">
      <x:c r="B7" s="256"/>
      <x:c r="C7" s="257"/>
      <x:c r="D7" s="257"/>
      <x:c r="E7" s="258"/>
      <x:c r="F7" s="256"/>
      <x:c r="G7" s="257"/>
      <x:c r="H7" s="257"/>
      <x:c r="I7" s="258"/>
      <x:c r="J7" s="276"/>
      <x:c r="K7" s="277"/>
      <x:c r="L7" s="277"/>
      <x:c r="M7" s="278"/>
      <x:c r="N7" s="276"/>
      <x:c r="O7" s="277"/>
      <x:c r="P7" s="277"/>
      <x:c r="Q7" s="278"/>
    </x:row>
    <x:row r="8" ht="20" customHeight="1">
      <x:c r="B8" s="274" t="str">
        <x:v>Selected item–indication rows</x:v>
      </x:c>
      <x:c r="C8" s="271" t="str">
        <x:v>Selected item–indication rows</x:v>
      </x:c>
      <x:c r="D8" s="275" t="str">
        <x:v>Selected item–indication rows</x:v>
      </x:c>
      <x:c r="E8" s="273" t="str">
        <x:v>Selected item–indication rows</x:v>
      </x:c>
      <x:c r="F8" s="274" t="str">
        <x:v>31 broad candidates + 7 context records</x:v>
      </x:c>
      <x:c r="G8" s="271" t="str">
        <x:v>Including conflicting findings</x:v>
      </x:c>
      <x:c r="H8" s="275" t="str">
        <x:v>Including conflicting findings</x:v>
      </x:c>
      <x:c r="I8" s="273" t="str">
        <x:v>Including conflicting findings</x:v>
      </x:c>
      <x:c r="J8" s="274" t="str">
        <x:v>Linked by stable study IDs</x:v>
      </x:c>
      <x:c r="K8" s="271" t="str">
        <x:v>Linked by stable study IDs</x:v>
      </x:c>
      <x:c r="L8" s="275" t="str">
        <x:v>Linked by stable study IDs</x:v>
      </x:c>
      <x:c r="M8" s="273" t="str">
        <x:v>Linked by stable study IDs</x:v>
      </x:c>
      <x:c r="N8" s="274" t="str">
        <x:v>Literature gaps remain</x:v>
      </x:c>
      <x:c r="O8" s="271" t="str">
        <x:v>Literature gaps remain</x:v>
      </x:c>
      <x:c r="P8" s="275" t="str">
        <x:v>Literature gaps remain</x:v>
      </x:c>
      <x:c r="Q8" s="273" t="str">
        <x:v>Literature gaps remain</x:v>
      </x:c>
    </x:row>
    <x:row r="9">
      <x:c r="B9" s="170"/>
      <x:c r="C9" s="170"/>
      <x:c r="D9" s="170"/>
      <x:c r="E9" s="170"/>
      <x:c r="F9" s="170"/>
      <x:c r="G9" s="170"/>
      <x:c r="H9" s="170"/>
      <x:c r="I9" s="170"/>
      <x:c r="J9" s="170"/>
      <x:c r="K9" s="170"/>
      <x:c r="L9" s="170"/>
      <x:c r="M9" s="170"/>
      <x:c r="N9" s="170"/>
      <x:c r="O9" s="170"/>
      <x:c r="P9" s="170"/>
      <x:c r="Q9" s="170"/>
    </x:row>
    <x:row r="10" ht="20" customHeight="1">
      <x:c r="B10" s="263" t="str">
        <x:v>COVERED WITH CONDITIONS</x:v>
      </x:c>
      <x:c r="C10" s="254"/>
      <x:c r="D10" s="254"/>
      <x:c r="E10" s="255"/>
      <x:c r="F10" s="263" t="str">
        <x:v>PLAN DEPENDENT</x:v>
      </x:c>
      <x:c r="G10" s="254"/>
      <x:c r="H10" s="254"/>
      <x:c r="I10" s="255"/>
      <x:c r="J10" s="263" t="str">
        <x:v>EXCLUDED FOR THIS USE</x:v>
      </x:c>
      <x:c r="K10" s="254"/>
      <x:c r="L10" s="254"/>
      <x:c r="M10" s="255"/>
      <x:c r="N10" s="263" t="str">
        <x:v>LOCAL OR UNRESOLVED</x:v>
      </x:c>
      <x:c r="O10" s="254"/>
      <x:c r="P10" s="254"/>
      <x:c r="Q10" s="255"/>
    </x:row>
    <x:row r="11" ht="27" customHeight="1">
      <x:c r="B11" s="265" t="n">
        <x:f>'_Chart Helpers'!B2</x:f>
        <x:v>16</x:v>
      </x:c>
      <x:c r="C11" s="280"/>
      <x:c r="D11" s="280"/>
      <x:c r="E11" s="281"/>
      <x:c r="F11" s="265" t="n">
        <x:f>'_Chart Helpers'!B3</x:f>
        <x:v>7</x:v>
      </x:c>
      <x:c r="G11" s="283"/>
      <x:c r="H11" s="283"/>
      <x:c r="I11" s="284"/>
      <x:c r="J11" s="265" t="n">
        <x:f>'_Chart Helpers'!B4</x:f>
        <x:v>7</x:v>
      </x:c>
      <x:c r="K11" s="277"/>
      <x:c r="L11" s="277"/>
      <x:c r="M11" s="278"/>
      <x:c r="N11" s="265" t="n">
        <x:f>'_Chart Helpers'!N6</x:f>
        <x:v>10</x:v>
      </x:c>
      <x:c r="O11" s="286"/>
      <x:c r="P11" s="286"/>
      <x:c r="Q11" s="287"/>
    </x:row>
    <x:row r="12" ht="27" customHeight="1">
      <x:c r="B12" s="279"/>
      <x:c r="C12" s="280"/>
      <x:c r="D12" s="280"/>
      <x:c r="E12" s="281"/>
      <x:c r="F12" s="282"/>
      <x:c r="G12" s="283"/>
      <x:c r="H12" s="283"/>
      <x:c r="I12" s="284"/>
      <x:c r="J12" s="276"/>
      <x:c r="K12" s="277"/>
      <x:c r="L12" s="277"/>
      <x:c r="M12" s="278"/>
      <x:c r="N12" s="285"/>
      <x:c r="O12" s="286"/>
      <x:c r="P12" s="286"/>
      <x:c r="Q12" s="287"/>
    </x:row>
    <x:row r="13" ht="20" customHeight="1">
      <x:c r="B13" s="274" t="str">
        <x:v>Eligibility rules still apply</x:v>
      </x:c>
      <x:c r="C13" s="271" t="str">
        <x:v>Eligibility rules still apply</x:v>
      </x:c>
      <x:c r="D13" s="275" t="str">
        <x:v>Eligibility rules still apply</x:v>
      </x:c>
      <x:c r="E13" s="273" t="str">
        <x:v>Eligibility rules still apply</x:v>
      </x:c>
      <x:c r="F13" s="274" t="str">
        <x:v>Product or plan review needed</x:v>
      </x:c>
      <x:c r="G13" s="271" t="str">
        <x:v>Product or plan review needed</x:v>
      </x:c>
      <x:c r="H13" s="275" t="str">
        <x:v>Product or plan review needed</x:v>
      </x:c>
      <x:c r="I13" s="273" t="str">
        <x:v>Product or plan review needed</x:v>
      </x:c>
      <x:c r="J13" s="274" t="str">
        <x:v>See indication and policy scope</x:v>
      </x:c>
      <x:c r="K13" s="271" t="str">
        <x:v>See indication and policy scope</x:v>
      </x:c>
      <x:c r="L13" s="275" t="str">
        <x:v>See indication and policy scope</x:v>
      </x:c>
      <x:c r="M13" s="273" t="str">
        <x:v>See indication and policy scope</x:v>
      </x:c>
      <x:c r="N13" s="274" t="str">
        <x:v>No blanket coverage inference</x:v>
      </x:c>
      <x:c r="O13" s="271" t="str">
        <x:v>No blanket coverage inference</x:v>
      </x:c>
      <x:c r="P13" s="275" t="str">
        <x:v>No blanket coverage inference</x:v>
      </x:c>
      <x:c r="Q13" s="273" t="str">
        <x:v>No blanket coverage inference</x:v>
      </x:c>
    </x:row>
    <x:row r="14">
      <x:c r="B14" s="170"/>
      <x:c r="C14" s="170"/>
      <x:c r="D14" s="170"/>
      <x:c r="E14" s="170"/>
      <x:c r="F14" s="170"/>
      <x:c r="G14" s="170"/>
      <x:c r="H14" s="170"/>
      <x:c r="I14" s="170"/>
      <x:c r="J14" s="170"/>
      <x:c r="K14" s="170"/>
      <x:c r="L14" s="170"/>
      <x:c r="M14" s="170"/>
      <x:c r="N14" s="170"/>
      <x:c r="O14" s="170"/>
      <x:c r="P14" s="170"/>
      <x:c r="Q14" s="170"/>
    </x:row>
    <x:row r="15" ht="22" customHeight="1">
      <x:c r="B15" s="288" t="str">
        <x:v>COVERAGE CLASSIFICATIONS IN THIS INVENTORY</x:v>
      </x:c>
      <x:c r="C15" s="288"/>
      <x:c r="D15" s="288"/>
      <x:c r="E15" s="288"/>
      <x:c r="F15" s="288"/>
      <x:c r="G15" s="288"/>
      <x:c r="H15" s="288"/>
      <x:c r="I15" s="288"/>
      <x:c r="J15" s="288" t="str">
        <x:v>SELECTED FORMULARY LISTING SHARES</x:v>
      </x:c>
      <x:c r="K15" s="288"/>
      <x:c r="L15" s="288"/>
      <x:c r="M15" s="288"/>
      <x:c r="N15" s="288"/>
      <x:c r="O15" s="288"/>
      <x:c r="P15" s="288"/>
      <x:c r="Q15" s="288"/>
    </x:row>
    <x:row r="16">
      <x:c r="B16" s="170"/>
      <x:c r="C16" s="170"/>
      <x:c r="D16" s="170"/>
      <x:c r="E16" s="170"/>
      <x:c r="F16" s="170"/>
      <x:c r="G16" s="170"/>
      <x:c r="H16" s="170"/>
      <x:c r="I16" s="170"/>
      <x:c r="J16" s="170"/>
      <x:c r="K16" s="170"/>
      <x:c r="L16" s="170"/>
      <x:c r="M16" s="170"/>
      <x:c r="N16" s="170"/>
      <x:c r="O16" s="170"/>
      <x:c r="P16" s="170"/>
      <x:c r="Q16" s="170"/>
    </x:row>
    <x:row r="17">
      <x:c r="B17" s="170"/>
      <x:c r="C17" s="170"/>
      <x:c r="D17" s="170"/>
      <x:c r="E17" s="170"/>
      <x:c r="F17" s="170"/>
      <x:c r="G17" s="170"/>
      <x:c r="H17" s="170"/>
      <x:c r="I17" s="170"/>
      <x:c r="J17" s="170"/>
      <x:c r="K17" s="170"/>
      <x:c r="L17" s="170"/>
      <x:c r="M17" s="170"/>
      <x:c r="N17" s="170"/>
      <x:c r="O17" s="170"/>
      <x:c r="P17" s="170"/>
      <x:c r="Q17" s="170"/>
    </x:row>
    <x:row r="18">
      <x:c r="B18" s="170"/>
      <x:c r="C18" s="170"/>
      <x:c r="D18" s="170"/>
      <x:c r="E18" s="170"/>
      <x:c r="F18" s="170"/>
      <x:c r="G18" s="170"/>
      <x:c r="H18" s="170"/>
      <x:c r="I18" s="170"/>
      <x:c r="J18" s="170"/>
      <x:c r="K18" s="170"/>
      <x:c r="L18" s="170"/>
      <x:c r="M18" s="170"/>
      <x:c r="N18" s="170"/>
      <x:c r="O18" s="170"/>
      <x:c r="P18" s="170"/>
      <x:c r="Q18" s="170"/>
    </x:row>
    <x:row r="19">
      <x:c r="B19" s="170"/>
      <x:c r="C19" s="170"/>
      <x:c r="D19" s="170"/>
      <x:c r="E19" s="170"/>
      <x:c r="F19" s="170"/>
      <x:c r="G19" s="170"/>
      <x:c r="H19" s="170"/>
      <x:c r="I19" s="170"/>
      <x:c r="J19" s="170"/>
      <x:c r="K19" s="170"/>
      <x:c r="L19" s="170"/>
      <x:c r="M19" s="170"/>
      <x:c r="N19" s="170"/>
      <x:c r="O19" s="170"/>
      <x:c r="P19" s="170"/>
      <x:c r="Q19" s="170"/>
    </x:row>
    <x:row r="20">
      <x:c r="B20" s="170"/>
      <x:c r="C20" s="170"/>
      <x:c r="D20" s="170"/>
      <x:c r="E20" s="170"/>
      <x:c r="F20" s="170"/>
      <x:c r="G20" s="170"/>
      <x:c r="H20" s="170"/>
      <x:c r="I20" s="170"/>
      <x:c r="J20" s="170"/>
      <x:c r="K20" s="170"/>
      <x:c r="L20" s="170"/>
      <x:c r="M20" s="170"/>
      <x:c r="N20" s="170"/>
      <x:c r="O20" s="170"/>
      <x:c r="P20" s="170"/>
      <x:c r="Q20" s="170"/>
    </x:row>
    <x:row r="21">
      <x:c r="B21" s="170"/>
      <x:c r="C21" s="170"/>
      <x:c r="D21" s="170"/>
      <x:c r="E21" s="170"/>
      <x:c r="F21" s="170"/>
      <x:c r="G21" s="170"/>
      <x:c r="H21" s="170"/>
      <x:c r="I21" s="170"/>
      <x:c r="J21" s="170"/>
      <x:c r="K21" s="170"/>
      <x:c r="L21" s="170"/>
      <x:c r="M21" s="170"/>
      <x:c r="N21" s="170"/>
      <x:c r="O21" s="170"/>
      <x:c r="P21" s="170"/>
      <x:c r="Q21" s="170"/>
    </x:row>
    <x:row r="22">
      <x:c r="B22" s="170"/>
      <x:c r="C22" s="170"/>
      <x:c r="D22" s="170"/>
      <x:c r="E22" s="170"/>
      <x:c r="F22" s="170"/>
      <x:c r="G22" s="170"/>
      <x:c r="H22" s="170"/>
      <x:c r="I22" s="170"/>
      <x:c r="J22" s="170"/>
      <x:c r="K22" s="170"/>
      <x:c r="L22" s="170"/>
      <x:c r="M22" s="170"/>
      <x:c r="N22" s="170"/>
      <x:c r="O22" s="170"/>
      <x:c r="P22" s="170"/>
      <x:c r="Q22" s="170"/>
    </x:row>
    <x:row r="23">
      <x:c r="B23" s="170"/>
      <x:c r="C23" s="170"/>
      <x:c r="D23" s="170"/>
      <x:c r="E23" s="170"/>
      <x:c r="F23" s="170"/>
      <x:c r="G23" s="170"/>
      <x:c r="H23" s="170"/>
      <x:c r="I23" s="170"/>
      <x:c r="J23" s="170"/>
      <x:c r="K23" s="170"/>
      <x:c r="L23" s="170"/>
      <x:c r="M23" s="170"/>
      <x:c r="N23" s="170"/>
      <x:c r="O23" s="170"/>
      <x:c r="P23" s="170"/>
      <x:c r="Q23" s="170"/>
    </x:row>
    <x:row r="24">
      <x:c r="B24" s="170"/>
      <x:c r="C24" s="170"/>
      <x:c r="D24" s="170"/>
      <x:c r="E24" s="170"/>
      <x:c r="F24" s="170"/>
      <x:c r="G24" s="170"/>
      <x:c r="H24" s="170"/>
      <x:c r="I24" s="170"/>
      <x:c r="J24" s="170"/>
      <x:c r="K24" s="170"/>
      <x:c r="L24" s="170"/>
      <x:c r="M24" s="170"/>
      <x:c r="N24" s="170"/>
      <x:c r="O24" s="170"/>
      <x:c r="P24" s="170"/>
      <x:c r="Q24" s="170"/>
    </x:row>
    <x:row r="25">
      <x:c r="B25" s="170"/>
      <x:c r="C25" s="170"/>
      <x:c r="D25" s="170"/>
      <x:c r="E25" s="170"/>
      <x:c r="F25" s="170"/>
      <x:c r="G25" s="170"/>
      <x:c r="H25" s="170"/>
      <x:c r="I25" s="170"/>
      <x:c r="J25" s="170"/>
      <x:c r="K25" s="170"/>
      <x:c r="L25" s="170"/>
      <x:c r="M25" s="170"/>
      <x:c r="N25" s="170"/>
      <x:c r="O25" s="170"/>
      <x:c r="P25" s="170"/>
      <x:c r="Q25" s="170"/>
    </x:row>
    <x:row r="26">
      <x:c r="B26" s="170"/>
      <x:c r="C26" s="170"/>
      <x:c r="D26" s="170"/>
      <x:c r="E26" s="170"/>
      <x:c r="F26" s="170"/>
      <x:c r="G26" s="170"/>
      <x:c r="H26" s="170"/>
      <x:c r="I26" s="170"/>
      <x:c r="J26" s="170"/>
      <x:c r="K26" s="170"/>
      <x:c r="L26" s="170"/>
      <x:c r="M26" s="170"/>
      <x:c r="N26" s="170"/>
      <x:c r="O26" s="170"/>
      <x:c r="P26" s="170"/>
      <x:c r="Q26" s="170"/>
    </x:row>
    <x:row r="27">
      <x:c r="B27" s="170"/>
      <x:c r="C27" s="170"/>
      <x:c r="D27" s="170"/>
      <x:c r="E27" s="170"/>
      <x:c r="F27" s="170"/>
      <x:c r="G27" s="170"/>
      <x:c r="H27" s="170"/>
      <x:c r="I27" s="170"/>
      <x:c r="J27" s="170"/>
      <x:c r="K27" s="170"/>
      <x:c r="L27" s="170"/>
      <x:c r="M27" s="170"/>
      <x:c r="N27" s="170"/>
      <x:c r="O27" s="170"/>
      <x:c r="P27" s="170"/>
      <x:c r="Q27" s="170"/>
    </x:row>
    <x:row r="28">
      <x:c r="B28" s="170"/>
      <x:c r="C28" s="170"/>
      <x:c r="D28" s="170"/>
      <x:c r="E28" s="170"/>
      <x:c r="F28" s="170"/>
      <x:c r="G28" s="170"/>
      <x:c r="H28" s="170"/>
      <x:c r="I28" s="170"/>
      <x:c r="J28" s="170"/>
      <x:c r="K28" s="170"/>
      <x:c r="L28" s="170"/>
      <x:c r="M28" s="170"/>
      <x:c r="N28" s="170"/>
      <x:c r="O28" s="170"/>
      <x:c r="P28" s="170"/>
      <x:c r="Q28" s="170"/>
    </x:row>
    <x:row r="29" ht="22" customHeight="1">
      <x:c r="B29" s="288" t="str">
        <x:v>PRIOR AUTHORIZATION AMONG LISTING SEGMENTS</x:v>
      </x:c>
      <x:c r="C29" s="288"/>
      <x:c r="D29" s="288"/>
      <x:c r="E29" s="288"/>
      <x:c r="F29" s="288"/>
      <x:c r="G29" s="288"/>
      <x:c r="H29" s="288"/>
      <x:c r="I29" s="288"/>
      <x:c r="J29" s="288" t="str">
        <x:v>ILLUSTRATIVE WORK-RVU DIFFERENCES</x:v>
      </x:c>
      <x:c r="K29" s="288"/>
      <x:c r="L29" s="288"/>
      <x:c r="M29" s="288"/>
      <x:c r="N29" s="288"/>
      <x:c r="O29" s="288"/>
      <x:c r="P29" s="288"/>
      <x:c r="Q29" s="288"/>
    </x:row>
    <x:row r="30">
      <x:c r="B30" s="170"/>
      <x:c r="C30" s="170"/>
      <x:c r="D30" s="170"/>
      <x:c r="E30" s="170"/>
      <x:c r="F30" s="170"/>
      <x:c r="G30" s="170"/>
      <x:c r="H30" s="170"/>
      <x:c r="I30" s="170"/>
      <x:c r="J30" s="170"/>
      <x:c r="K30" s="170"/>
      <x:c r="L30" s="170"/>
      <x:c r="M30" s="170"/>
      <x:c r="N30" s="170"/>
      <x:c r="O30" s="170"/>
      <x:c r="P30" s="170"/>
      <x:c r="Q30" s="170"/>
    </x:row>
    <x:row r="31">
      <x:c r="B31" s="170"/>
      <x:c r="C31" s="170"/>
      <x:c r="D31" s="170"/>
      <x:c r="E31" s="170"/>
      <x:c r="F31" s="170"/>
      <x:c r="G31" s="170"/>
      <x:c r="H31" s="170"/>
      <x:c r="I31" s="170"/>
      <x:c r="J31" s="170"/>
      <x:c r="K31" s="170"/>
      <x:c r="L31" s="170"/>
      <x:c r="M31" s="170"/>
      <x:c r="N31" s="170"/>
      <x:c r="O31" s="170"/>
      <x:c r="P31" s="170"/>
      <x:c r="Q31" s="170"/>
    </x:row>
    <x:row r="32">
      <x:c r="B32" s="170"/>
      <x:c r="C32" s="170"/>
      <x:c r="D32" s="170"/>
      <x:c r="E32" s="170"/>
      <x:c r="F32" s="170"/>
      <x:c r="G32" s="170"/>
      <x:c r="H32" s="170"/>
      <x:c r="I32" s="170"/>
      <x:c r="J32" s="170"/>
      <x:c r="K32" s="170"/>
      <x:c r="L32" s="170"/>
      <x:c r="M32" s="170"/>
      <x:c r="N32" s="170"/>
      <x:c r="O32" s="170"/>
      <x:c r="P32" s="170"/>
      <x:c r="Q32" s="170"/>
    </x:row>
    <x:row r="33">
      <x:c r="B33" s="170"/>
      <x:c r="C33" s="170"/>
      <x:c r="D33" s="170"/>
      <x:c r="E33" s="170"/>
      <x:c r="F33" s="170"/>
      <x:c r="G33" s="170"/>
      <x:c r="H33" s="170"/>
      <x:c r="I33" s="170"/>
      <x:c r="J33" s="170"/>
      <x:c r="K33" s="170"/>
      <x:c r="L33" s="170"/>
      <x:c r="M33" s="170"/>
      <x:c r="N33" s="170"/>
      <x:c r="O33" s="170"/>
      <x:c r="P33" s="170"/>
      <x:c r="Q33" s="170"/>
    </x:row>
    <x:row r="34">
      <x:c r="B34" s="170"/>
      <x:c r="C34" s="170"/>
      <x:c r="D34" s="170"/>
      <x:c r="E34" s="170"/>
      <x:c r="F34" s="170"/>
      <x:c r="G34" s="170"/>
      <x:c r="H34" s="170"/>
      <x:c r="I34" s="170"/>
      <x:c r="J34" s="170"/>
      <x:c r="K34" s="170"/>
      <x:c r="L34" s="170"/>
      <x:c r="M34" s="170"/>
      <x:c r="N34" s="170"/>
      <x:c r="O34" s="170"/>
      <x:c r="P34" s="170"/>
      <x:c r="Q34" s="170"/>
    </x:row>
    <x:row r="35">
      <x:c r="B35" s="170"/>
      <x:c r="C35" s="170"/>
      <x:c r="D35" s="170"/>
      <x:c r="E35" s="170"/>
      <x:c r="F35" s="170"/>
      <x:c r="G35" s="170"/>
      <x:c r="H35" s="170"/>
      <x:c r="I35" s="170"/>
      <x:c r="J35" s="170"/>
      <x:c r="K35" s="170"/>
      <x:c r="L35" s="170"/>
      <x:c r="M35" s="170"/>
      <x:c r="N35" s="170"/>
      <x:c r="O35" s="170"/>
      <x:c r="P35" s="170"/>
      <x:c r="Q35" s="170"/>
    </x:row>
    <x:row r="36">
      <x:c r="B36" s="170"/>
      <x:c r="C36" s="170"/>
      <x:c r="D36" s="170"/>
      <x:c r="E36" s="170"/>
      <x:c r="F36" s="170"/>
      <x:c r="G36" s="170"/>
      <x:c r="H36" s="170"/>
      <x:c r="I36" s="170"/>
      <x:c r="J36" s="170"/>
      <x:c r="K36" s="170"/>
      <x:c r="L36" s="170"/>
      <x:c r="M36" s="170"/>
      <x:c r="N36" s="170"/>
      <x:c r="O36" s="170"/>
      <x:c r="P36" s="170"/>
      <x:c r="Q36" s="170"/>
    </x:row>
    <x:row r="37">
      <x:c r="B37" s="170"/>
      <x:c r="C37" s="170"/>
      <x:c r="D37" s="170"/>
      <x:c r="E37" s="170"/>
      <x:c r="F37" s="170"/>
      <x:c r="G37" s="170"/>
      <x:c r="H37" s="170"/>
      <x:c r="I37" s="170"/>
      <x:c r="J37" s="170"/>
      <x:c r="K37" s="170"/>
      <x:c r="L37" s="170"/>
      <x:c r="M37" s="170"/>
      <x:c r="N37" s="170"/>
      <x:c r="O37" s="170"/>
      <x:c r="P37" s="170"/>
      <x:c r="Q37" s="170"/>
    </x:row>
    <x:row r="38">
      <x:c r="B38" s="170"/>
      <x:c r="C38" s="170"/>
      <x:c r="D38" s="170"/>
      <x:c r="E38" s="170"/>
      <x:c r="F38" s="170"/>
      <x:c r="G38" s="170"/>
      <x:c r="H38" s="170"/>
      <x:c r="I38" s="170"/>
      <x:c r="J38" s="170"/>
      <x:c r="K38" s="170"/>
      <x:c r="L38" s="170"/>
      <x:c r="M38" s="170"/>
      <x:c r="N38" s="170"/>
      <x:c r="O38" s="170"/>
      <x:c r="P38" s="170"/>
      <x:c r="Q38" s="170"/>
    </x:row>
    <x:row r="39">
      <x:c r="B39" s="170"/>
      <x:c r="C39" s="170"/>
      <x:c r="D39" s="170"/>
      <x:c r="E39" s="170"/>
      <x:c r="F39" s="170"/>
      <x:c r="G39" s="170"/>
      <x:c r="H39" s="170"/>
      <x:c r="I39" s="170"/>
      <x:c r="J39" s="170"/>
      <x:c r="K39" s="170"/>
      <x:c r="L39" s="170"/>
      <x:c r="M39" s="170"/>
      <x:c r="N39" s="170"/>
      <x:c r="O39" s="170"/>
      <x:c r="P39" s="170"/>
      <x:c r="Q39" s="170"/>
    </x:row>
    <x:row r="40">
      <x:c r="B40" s="170"/>
      <x:c r="C40" s="170"/>
      <x:c r="D40" s="170"/>
      <x:c r="E40" s="170"/>
      <x:c r="F40" s="170"/>
      <x:c r="G40" s="170"/>
      <x:c r="H40" s="170"/>
      <x:c r="I40" s="170"/>
      <x:c r="J40" s="170"/>
      <x:c r="K40" s="170"/>
      <x:c r="L40" s="170"/>
      <x:c r="M40" s="170"/>
      <x:c r="N40" s="170"/>
      <x:c r="O40" s="170"/>
      <x:c r="P40" s="170"/>
      <x:c r="Q40" s="170"/>
    </x:row>
    <x:row r="41">
      <x:c r="B41" s="170"/>
      <x:c r="C41" s="170"/>
      <x:c r="D41" s="170"/>
      <x:c r="E41" s="170"/>
      <x:c r="F41" s="170"/>
      <x:c r="G41" s="170"/>
      <x:c r="H41" s="170"/>
      <x:c r="I41" s="170"/>
      <x:c r="J41" s="170"/>
      <x:c r="K41" s="170"/>
      <x:c r="L41" s="170"/>
      <x:c r="M41" s="170"/>
      <x:c r="N41" s="170"/>
      <x:c r="O41" s="170"/>
      <x:c r="P41" s="170"/>
      <x:c r="Q41" s="170"/>
    </x:row>
    <x:row r="42">
      <x:c r="B42" s="170"/>
      <x:c r="C42" s="170"/>
      <x:c r="D42" s="170"/>
      <x:c r="E42" s="170"/>
      <x:c r="F42" s="170"/>
      <x:c r="G42" s="170"/>
      <x:c r="H42" s="170"/>
      <x:c r="I42" s="170"/>
      <x:c r="J42" s="170"/>
      <x:c r="K42" s="170"/>
      <x:c r="L42" s="170"/>
      <x:c r="M42" s="170"/>
      <x:c r="N42" s="170"/>
      <x:c r="O42" s="170"/>
      <x:c r="P42" s="170"/>
      <x:c r="Q42" s="170"/>
    </x:row>
    <x:row r="43" ht="22" customHeight="1">
      <x:c r="B43" s="288" t="str">
        <x:v>HOW TO READ THE EVIDENCE</x:v>
      </x:c>
      <x:c r="C43" s="288"/>
      <x:c r="D43" s="288"/>
      <x:c r="E43" s="288"/>
      <x:c r="F43" s="288"/>
      <x:c r="G43" s="288"/>
      <x:c r="H43" s="288"/>
      <x:c r="I43" s="288"/>
      <x:c r="J43" s="288"/>
      <x:c r="K43" s="288"/>
      <x:c r="L43" s="288"/>
      <x:c r="M43" s="288"/>
      <x:c r="N43" s="288"/>
      <x:c r="O43" s="288"/>
      <x:c r="P43" s="288"/>
      <x:c r="Q43" s="288"/>
    </x:row>
    <x:row r="44" ht="26" customHeight="1">
      <x:c r="B44" s="346" t="str"/>
      <x:c r="C44" s="347" t="str"/>
      <x:c r="D44" s="347" t="str"/>
      <x:c r="E44" s="347" t="str"/>
      <x:c r="F44" s="347" t="str"/>
      <x:c r="G44" s="347" t="str"/>
      <x:c r="H44" s="347" t="str"/>
      <x:c r="I44" s="348" t="str"/>
      <x:c r="J44" s="170"/>
      <x:c r="K44" s="170"/>
      <x:c r="L44" s="170"/>
      <x:c r="M44" s="170"/>
      <x:c r="N44" s="170"/>
      <x:c r="O44" s="170"/>
      <x:c r="P44" s="170"/>
      <x:c r="Q44" s="170"/>
    </x:row>
    <x:row r="45">
      <x:c r="B45" s="2338" t="str">
        <x:v>Coverage</x:v>
      </x:c>
      <x:c r="C45" s="2338" t="str">
        <x:v>Coverage</x:v>
      </x:c>
      <x:c r="D45" s="2339" t="str">
        <x:v>An eligible benefit may still require medical necessity or authorization.</x:v>
      </x:c>
      <x:c r="E45" s="2339" t="str">
        <x:v>An eligible benefit may still require medical necessity or authorization.</x:v>
      </x:c>
      <x:c r="F45" s="2339" t="str">
        <x:f t="shared" ref="F45:F52" si="0">D45-E45</x:f>
        <x:v>An eligible benefit may still require medical necessity or authorization.</x:v>
      </x:c>
      <x:c r="G45" s="2340" t="str">
        <x:f t="shared" ref="G45:G52" si="1">IFERROR(D45/E45-1,"")</x:f>
        <x:v>An eligible benefit may still require medical necessity or authorization.</x:v>
      </x:c>
      <x:c r="H45" s="2341" t="str">
        <x:v>An eligible benefit may still require medical necessity or authorization.</x:v>
      </x:c>
      <x:c r="I45" s="2342" t="str">
        <x:v>An eligible benefit may still require medical necessity or authorization.</x:v>
      </x:c>
      <x:c r="J45" s="2346"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K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L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M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N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O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P45" s="2347"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Q45" s="2348"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row>
    <x:row r="46">
      <x:c r="B46" s="2338" t="str">
        <x:v>Coverage</x:v>
      </x:c>
      <x:c r="C46" s="2338" t="str">
        <x:v>Coverage</x:v>
      </x:c>
      <x:c r="D46" s="2339" t="str">
        <x:v>An eligible benefit may still require medical necessity or authorization.</x:v>
      </x:c>
      <x:c r="E46" s="2339" t="str">
        <x:v>An eligible benefit may still require medical necessity or authorization.</x:v>
      </x:c>
      <x:c r="F46" s="2339" t="str">
        <x:f t="shared" si="0"/>
        <x:v>An eligible benefit may still require medical necessity or authorization.</x:v>
      </x:c>
      <x:c r="G46" s="2340" t="str">
        <x:f t="shared" si="1"/>
        <x:v>An eligible benefit may still require medical necessity or authorization.</x:v>
      </x:c>
      <x:c r="H46" s="2341" t="str">
        <x:v>An eligible benefit may still require medical necessity or authorization.</x:v>
      </x:c>
      <x:c r="I46" s="2342" t="str">
        <x:v>An eligible benefit may still require medical necessity or authorization.</x:v>
      </x:c>
      <x:c r="J46" s="2349"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K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L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M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N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O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P46"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Q46" s="2351"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row>
    <x:row r="47">
      <x:c r="B47" s="2338" t="str">
        <x:v>Payment</x:v>
      </x:c>
      <x:c r="C47" s="2338" t="str">
        <x:v>Payment</x:v>
      </x:c>
      <x:c r="D47" s="2340" t="str">
        <x:v>RVU or fee differences require clinically comparable procedures.</x:v>
      </x:c>
      <x:c r="E47" s="2340" t="str">
        <x:v>RVU or fee differences require clinically comparable procedures.</x:v>
      </x:c>
      <x:c r="F47" s="2340" t="str">
        <x:f t="shared" si="0"/>
        <x:v>RVU or fee differences require clinically comparable procedures.</x:v>
      </x:c>
      <x:c r="G47" s="2340" t="str">
        <x:f t="shared" si="1"/>
        <x:v>RVU or fee differences require clinically comparable procedures.</x:v>
      </x:c>
      <x:c r="H47" s="2341" t="str">
        <x:v>RVU or fee differences require clinically comparable procedures.</x:v>
      </x:c>
      <x:c r="I47" s="2342" t="str">
        <x:v>RVU or fee differences require clinically comparable procedures.</x:v>
      </x:c>
      <x:c r="J47" s="2349"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K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L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M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N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O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P47"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Q47" s="2351"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row>
    <x:row r="48">
      <x:c r="B48" s="2338" t="str">
        <x:v>Payment</x:v>
      </x:c>
      <x:c r="C48" s="2338" t="str">
        <x:v>Payment</x:v>
      </x:c>
      <x:c r="D48" s="2340" t="str">
        <x:v>RVU or fee differences require clinically comparable procedures.</x:v>
      </x:c>
      <x:c r="E48" s="2340" t="str">
        <x:v>RVU or fee differences require clinically comparable procedures.</x:v>
      </x:c>
      <x:c r="F48" s="2340" t="str">
        <x:f t="shared" si="0"/>
        <x:v>RVU or fee differences require clinically comparable procedures.</x:v>
      </x:c>
      <x:c r="G48" s="2340" t="str">
        <x:f t="shared" si="1"/>
        <x:v>RVU or fee differences require clinically comparable procedures.</x:v>
      </x:c>
      <x:c r="H48" s="2341" t="str">
        <x:v>RVU or fee differences require clinically comparable procedures.</x:v>
      </x:c>
      <x:c r="I48" s="2342" t="str">
        <x:v>RVU or fee differences require clinically comparable procedures.</x:v>
      </x:c>
      <x:c r="J48" s="2352"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K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L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M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N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O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P48" s="2353"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Q48" s="2354"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row>
    <x:row r="49">
      <x:c r="B49" s="2338" t="str">
        <x:v>Access</x:v>
      </x:c>
      <x:c r="C49" s="2338" t="str">
        <x:v>Access</x:v>
      </x:c>
      <x:c r="D49" s="2343" t="str">
        <x:v>Low use or high cost does not independently prove denial or bias.</x:v>
      </x:c>
      <x:c r="E49" s="2343" t="str">
        <x:v>Low use or high cost does not independently prove denial or bias.</x:v>
      </x:c>
      <x:c r="F49" s="2343" t="str">
        <x:f t="shared" si="0"/>
        <x:v>Low use or high cost does not independently prove denial or bias.</x:v>
      </x:c>
      <x:c r="G49" s="2340" t="str">
        <x:f t="shared" si="1"/>
        <x:v>Low use or high cost does not independently prove denial or bias.</x:v>
      </x:c>
      <x:c r="H49" s="2341" t="str">
        <x:v>Low use or high cost does not independently prove denial or bias.</x:v>
      </x:c>
      <x:c r="I49" s="2342" t="str">
        <x:v>Low use or high cost does not independently prove denial or bias.</x:v>
      </x:c>
      <x:c r="J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K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L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M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N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O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P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c r="Q49" s="2350" t="str">
        <x:v>Medicare benchmark: assess sex-based equity in later-life care, when chronic illness and per-person healthcare use are substantial. Keep spending, utilization and unmet need distinct. Retain younger beneficiaries separately by age and entitlement. See Literature for the rationale and sources.</x:v>
      </x:c>
    </x:row>
    <x:row r="50">
      <x:c r="B50" s="2338" t="str">
        <x:v>Access</x:v>
      </x:c>
      <x:c r="C50" s="2338" t="str">
        <x:v>Access</x:v>
      </x:c>
      <x:c r="D50" s="2344" t="str">
        <x:v>Low use or high cost does not independently prove denial or bias.</x:v>
      </x:c>
      <x:c r="E50" s="2344" t="str">
        <x:v>Low use or high cost does not independently prove denial or bias.</x:v>
      </x:c>
      <x:c r="F50" s="2344" t="str">
        <x:f t="shared" si="0"/>
        <x:v>Low use or high cost does not independently prove denial or bias.</x:v>
      </x:c>
      <x:c r="G50" s="2340" t="str">
        <x:f t="shared" si="1"/>
        <x:v>Low use or high cost does not independently prove denial or bias.</x:v>
      </x:c>
      <x:c r="H50" s="2341" t="str">
        <x:v>Low use or high cost does not independently prove denial or bias.</x:v>
      </x:c>
      <x:c r="I50" s="2342" t="str">
        <x:v>Low use or high cost does not independently prove denial or bias.</x:v>
      </x:c>
      <x:c r="J50" s="197"/>
      <x:c r="K50" s="198"/>
      <x:c r="L50" s="198"/>
      <x:c r="M50" s="198"/>
      <x:c r="N50" s="198"/>
      <x:c r="O50" s="198"/>
      <x:c r="P50" s="198"/>
      <x:c r="Q50" s="199"/>
    </x:row>
    <x:row r="51">
      <x:c r="B51" s="2338" t="str">
        <x:v>Uncertainty</x:v>
      </x:c>
      <x:c r="C51" s="2338" t="str">
        <x:v>Uncertainty</x:v>
      </x:c>
      <x:c r="D51" s="2340" t="str">
        <x:v>Unresolved coverage is recorded explicitly for further review.</x:v>
      </x:c>
      <x:c r="E51" s="2340" t="str">
        <x:v>Unresolved coverage is recorded explicitly for further review.</x:v>
      </x:c>
      <x:c r="F51" s="2340" t="str">
        <x:f t="shared" si="0"/>
        <x:v>Unresolved coverage is recorded explicitly for further review.</x:v>
      </x:c>
      <x:c r="G51" s="2340" t="str">
        <x:f t="shared" si="1"/>
        <x:v>Unresolved coverage is recorded explicitly for further review.</x:v>
      </x:c>
      <x:c r="H51" s="2341" t="str">
        <x:v>Unresolved coverage is recorded explicitly for further review.</x:v>
      </x:c>
      <x:c r="I51" s="2342" t="str">
        <x:v>Unresolved coverage is recorded explicitly for further review.</x:v>
      </x:c>
      <x:c r="J51" s="2355" t="str">
        <x:v>8 studies and 3 care items moved to Exclusions. See Literature for amended methods.</x:v>
      </x:c>
      <x:c r="K51" s="2356" t="str">
        <x:v>8 studies and 3 care items moved to Exclusions. See Literature for amended methods.</x:v>
      </x:c>
      <x:c r="L51" s="2356" t="str">
        <x:v>8 studies and 3 care items moved to Exclusions. See Literature for amended methods.</x:v>
      </x:c>
      <x:c r="M51" s="2356" t="str">
        <x:v>8 studies and 3 care items moved to Exclusions. See Literature for amended methods.</x:v>
      </x:c>
      <x:c r="N51" s="2356" t="str">
        <x:v>8 studies and 3 care items moved to Exclusions. See Literature for amended methods.</x:v>
      </x:c>
      <x:c r="O51" s="2356" t="str">
        <x:v>8 studies and 3 care items moved to Exclusions. See Literature for amended methods.</x:v>
      </x:c>
      <x:c r="P51" s="2356" t="str">
        <x:v>8 studies and 3 care items moved to Exclusions. See Literature for amended methods.</x:v>
      </x:c>
      <x:c r="Q51" s="2357" t="str">
        <x:v>8 studies and 3 care items moved to Exclusions. See Literature for amended methods.</x:v>
      </x:c>
    </x:row>
    <x:row r="52">
      <x:c r="B52" s="2338" t="str">
        <x:v>Uncertainty</x:v>
      </x:c>
      <x:c r="C52" s="2338" t="str">
        <x:v>Uncertainty</x:v>
      </x:c>
      <x:c r="D52" s="2345" t="str">
        <x:v>Unresolved coverage is recorded explicitly for further review.</x:v>
      </x:c>
      <x:c r="E52" s="2345" t="str">
        <x:v>Unresolved coverage is recorded explicitly for further review.</x:v>
      </x:c>
      <x:c r="F52" s="2345" t="str">
        <x:f t="shared" si="0"/>
        <x:v>Unresolved coverage is recorded explicitly for further review.</x:v>
      </x:c>
      <x:c r="G52" s="2340" t="str">
        <x:f t="shared" si="1"/>
        <x:v>Unresolved coverage is recorded explicitly for further review.</x:v>
      </x:c>
      <x:c r="H52" s="2341" t="str">
        <x:v>Unresolved coverage is recorded explicitly for further review.</x:v>
      </x:c>
      <x:c r="I52" s="2342" t="str">
        <x:v>Unresolved coverage is recorded explicitly for further review.</x:v>
      </x:c>
      <x:c r="J52" s="2358" t="str">
        <x:v>8 studies and 3 care items moved to Exclusions. See Literature for amended methods.</x:v>
      </x:c>
      <x:c r="K52" s="2359" t="str">
        <x:v>8 studies and 3 care items moved to Exclusions. See Literature for amended methods.</x:v>
      </x:c>
      <x:c r="L52" s="2359" t="str">
        <x:v>8 studies and 3 care items moved to Exclusions. See Literature for amended methods.</x:v>
      </x:c>
      <x:c r="M52" s="2359" t="str">
        <x:v>8 studies and 3 care items moved to Exclusions. See Literature for amended methods.</x:v>
      </x:c>
      <x:c r="N52" s="2359" t="str">
        <x:v>8 studies and 3 care items moved to Exclusions. See Literature for amended methods.</x:v>
      </x:c>
      <x:c r="O52" s="2359" t="str">
        <x:v>8 studies and 3 care items moved to Exclusions. See Literature for amended methods.</x:v>
      </x:c>
      <x:c r="P52" s="2359" t="str">
        <x:v>8 studies and 3 care items moved to Exclusions. See Literature for amended methods.</x:v>
      </x:c>
      <x:c r="Q52" s="2360" t="str">
        <x:v>8 studies and 3 care items moved to Exclusions. See Literature for amended methods.</x:v>
      </x:c>
    </x:row>
    <x:row r="53">
      <x:c r="B53" s="12"/>
      <x:c r="C53" s="12"/>
      <x:c r="D53" s="12"/>
      <x:c r="E53" s="12"/>
      <x:c r="F53" s="12"/>
      <x:c r="G53" s="12"/>
      <x:c r="H53" s="12"/>
      <x:c r="I53" s="12"/>
      <x:c r="J53" s="12"/>
      <x:c r="K53" s="12"/>
      <x:c r="L53" s="12"/>
      <x:c r="M53" s="12"/>
      <x:c r="N53" s="12"/>
      <x:c r="O53" s="12"/>
      <x:c r="P53" s="12"/>
      <x:c r="Q53" s="12"/>
    </x:row>
    <x:row r="54" ht="27" customHeight="1">
      <x:c r="B54" s="2371" t="str">
        <x:v>COVERAGE BY ANATOMY AND REPRODUCTIVE PHYSIOLOGY</x:v>
      </x:c>
      <x:c r="C54" s="2371" t="str">
        <x:v>COVERAGE BY ANATOMY AND REPRODUCTIVE PHYSIOLOGY</x:v>
      </x:c>
      <x:c r="D54" s="2371" t="str">
        <x:v>COVERAGE BY ANATOMY AND REPRODUCTIVE PHYSIOLOGY</x:v>
      </x:c>
      <x:c r="E54" s="2371" t="str">
        <x:v>COVERAGE BY ANATOMY AND REPRODUCTIVE PHYSIOLOGY</x:v>
      </x:c>
      <x:c r="F54" s="2371" t="str">
        <x:v>COVERAGE BY ANATOMY AND REPRODUCTIVE PHYSIOLOGY</x:v>
      </x:c>
      <x:c r="G54" s="2371" t="str">
        <x:v>COVERAGE BY ANATOMY AND REPRODUCTIVE PHYSIOLOGY</x:v>
      </x:c>
      <x:c r="H54" s="2371" t="str">
        <x:v>COVERAGE BY ANATOMY AND REPRODUCTIVE PHYSIOLOGY</x:v>
      </x:c>
      <x:c r="I54" s="2371" t="str">
        <x:v>COVERAGE BY ANATOMY AND REPRODUCTIVE PHYSIOLOGY</x:v>
      </x:c>
      <x:c r="J54" s="2371" t="str">
        <x:v>COVERAGE BY ANATOMY AND REPRODUCTIVE PHYSIOLOGY</x:v>
      </x:c>
      <x:c r="K54" s="2371" t="str">
        <x:v>COVERAGE BY ANATOMY AND REPRODUCTIVE PHYSIOLOGY</x:v>
      </x:c>
      <x:c r="L54" s="2371" t="str">
        <x:v>COVERAGE BY ANATOMY AND REPRODUCTIVE PHYSIOLOGY</x:v>
      </x:c>
      <x:c r="M54" s="2371" t="str">
        <x:v>COVERAGE BY ANATOMY AND REPRODUCTIVE PHYSIOLOGY</x:v>
      </x:c>
      <x:c r="N54" s="2371" t="str">
        <x:v>COVERAGE BY ANATOMY AND REPRODUCTIVE PHYSIOLOGY</x:v>
      </x:c>
      <x:c r="O54" s="2371" t="str">
        <x:v>COVERAGE BY ANATOMY AND REPRODUCTIVE PHYSIOLOGY</x:v>
      </x:c>
      <x:c r="P54" s="2371" t="str">
        <x:v>COVERAGE BY ANATOMY AND REPRODUCTIVE PHYSIOLOGY</x:v>
      </x:c>
      <x:c r="Q54" s="2371" t="str">
        <x:v>COVERAGE BY ANATOMY AND REPRODUCTIVE PHYSIOLOGY</x:v>
      </x:c>
    </x:row>
    <x:row r="55">
      <x:c r="B55" s="2363" t="str">
        <x:v>Each care-item/indication is counted once. These are selected inventory counts, not national coverage rates or estimates of bias. Sex-specific eligibility and disease burden remain separate.</x:v>
      </x:c>
      <x:c r="C55" s="2363" t="str">
        <x:v>Each care-item/indication is counted once. These are selected inventory counts, not national coverage rates or estimates of bias. Sex-specific eligibility and disease burden remain separate.</x:v>
      </x:c>
      <x:c r="D55" s="2363" t="str">
        <x:v>Each care-item/indication is counted once. These are selected inventory counts, not national coverage rates or estimates of bias. Sex-specific eligibility and disease burden remain separate.</x:v>
      </x:c>
      <x:c r="E55" s="2363" t="str">
        <x:v>Each care-item/indication is counted once. These are selected inventory counts, not national coverage rates or estimates of bias. Sex-specific eligibility and disease burden remain separate.</x:v>
      </x:c>
      <x:c r="F55" s="2363" t="str">
        <x:v>Each care-item/indication is counted once. These are selected inventory counts, not national coverage rates or estimates of bias. Sex-specific eligibility and disease burden remain separate.</x:v>
      </x:c>
      <x:c r="G55" s="2363" t="str">
        <x:v>Each care-item/indication is counted once. These are selected inventory counts, not national coverage rates or estimates of bias. Sex-specific eligibility and disease burden remain separate.</x:v>
      </x:c>
      <x:c r="H55" s="2363" t="str">
        <x:v>Each care-item/indication is counted once. These are selected inventory counts, not national coverage rates or estimates of bias. Sex-specific eligibility and disease burden remain separate.</x:v>
      </x:c>
      <x:c r="I55" s="2363" t="str">
        <x:v>Each care-item/indication is counted once. These are selected inventory counts, not national coverage rates or estimates of bias. Sex-specific eligibility and disease burden remain separate.</x:v>
      </x:c>
      <x:c r="J55" s="2363" t="str">
        <x:v>Each care-item/indication is counted once. These are selected inventory counts, not national coverage rates or estimates of bias. Sex-specific eligibility and disease burden remain separate.</x:v>
      </x:c>
      <x:c r="K55" s="2363" t="str">
        <x:v>Each care-item/indication is counted once. These are selected inventory counts, not national coverage rates or estimates of bias. Sex-specific eligibility and disease burden remain separate.</x:v>
      </x:c>
      <x:c r="L55" s="2363" t="str">
        <x:v>Each care-item/indication is counted once. These are selected inventory counts, not national coverage rates or estimates of bias. Sex-specific eligibility and disease burden remain separate.</x:v>
      </x:c>
      <x:c r="M55" s="2363" t="str">
        <x:v>Each care-item/indication is counted once. These are selected inventory counts, not national coverage rates or estimates of bias. Sex-specific eligibility and disease burden remain separate.</x:v>
      </x:c>
      <x:c r="N55" s="2363" t="str">
        <x:v>Each care-item/indication is counted once. These are selected inventory counts, not national coverage rates or estimates of bias. Sex-specific eligibility and disease burden remain separate.</x:v>
      </x:c>
      <x:c r="O55" s="2363" t="str">
        <x:v>Each care-item/indication is counted once. These are selected inventory counts, not national coverage rates or estimates of bias. Sex-specific eligibility and disease burden remain separate.</x:v>
      </x:c>
      <x:c r="P55" s="2363" t="str">
        <x:v>Each care-item/indication is counted once. These are selected inventory counts, not national coverage rates or estimates of bias. Sex-specific eligibility and disease burden remain separate.</x:v>
      </x:c>
      <x:c r="Q55" s="2363" t="str">
        <x:v>Each care-item/indication is counted once. These are selected inventory counts, not national coverage rates or estimates of bias. Sex-specific eligibility and disease burden remain separate.</x:v>
      </x:c>
    </x:row>
    <x:row r="56">
      <x:c r="B56" s="2363" t="str">
        <x:v>Each care-item/indication is counted once. These are selected inventory counts, not national coverage rates or estimates of bias. Sex-specific eligibility and disease burden remain separate.</x:v>
      </x:c>
      <x:c r="C56" s="2363" t="str">
        <x:v>Each care-item/indication is counted once. These are selected inventory counts, not national coverage rates or estimates of bias. Sex-specific eligibility and disease burden remain separate.</x:v>
      </x:c>
      <x:c r="D56" s="2363" t="str">
        <x:v>Each care-item/indication is counted once. These are selected inventory counts, not national coverage rates or estimates of bias. Sex-specific eligibility and disease burden remain separate.</x:v>
      </x:c>
      <x:c r="E56" s="2363" t="str">
        <x:v>Each care-item/indication is counted once. These are selected inventory counts, not national coverage rates or estimates of bias. Sex-specific eligibility and disease burden remain separate.</x:v>
      </x:c>
      <x:c r="F56" s="2363" t="str">
        <x:v>Each care-item/indication is counted once. These are selected inventory counts, not national coverage rates or estimates of bias. Sex-specific eligibility and disease burden remain separate.</x:v>
      </x:c>
      <x:c r="G56" s="2363" t="str">
        <x:v>Each care-item/indication is counted once. These are selected inventory counts, not national coverage rates or estimates of bias. Sex-specific eligibility and disease burden remain separate.</x:v>
      </x:c>
      <x:c r="H56" s="2363" t="str">
        <x:v>Each care-item/indication is counted once. These are selected inventory counts, not national coverage rates or estimates of bias. Sex-specific eligibility and disease burden remain separate.</x:v>
      </x:c>
      <x:c r="I56" s="2363" t="str">
        <x:v>Each care-item/indication is counted once. These are selected inventory counts, not national coverage rates or estimates of bias. Sex-specific eligibility and disease burden remain separate.</x:v>
      </x:c>
      <x:c r="J56" s="2363" t="str">
        <x:v>Each care-item/indication is counted once. These are selected inventory counts, not national coverage rates or estimates of bias. Sex-specific eligibility and disease burden remain separate.</x:v>
      </x:c>
      <x:c r="K56" s="2363" t="str">
        <x:v>Each care-item/indication is counted once. These are selected inventory counts, not national coverage rates or estimates of bias. Sex-specific eligibility and disease burden remain separate.</x:v>
      </x:c>
      <x:c r="L56" s="2363" t="str">
        <x:v>Each care-item/indication is counted once. These are selected inventory counts, not national coverage rates or estimates of bias. Sex-specific eligibility and disease burden remain separate.</x:v>
      </x:c>
      <x:c r="M56" s="2363" t="str">
        <x:v>Each care-item/indication is counted once. These are selected inventory counts, not national coverage rates or estimates of bias. Sex-specific eligibility and disease burden remain separate.</x:v>
      </x:c>
      <x:c r="N56" s="2363" t="str">
        <x:v>Each care-item/indication is counted once. These are selected inventory counts, not national coverage rates or estimates of bias. Sex-specific eligibility and disease burden remain separate.</x:v>
      </x:c>
      <x:c r="O56" s="2363" t="str">
        <x:v>Each care-item/indication is counted once. These are selected inventory counts, not national coverage rates or estimates of bias. Sex-specific eligibility and disease burden remain separate.</x:v>
      </x:c>
      <x:c r="P56" s="2363" t="str">
        <x:v>Each care-item/indication is counted once. These are selected inventory counts, not national coverage rates or estimates of bias. Sex-specific eligibility and disease burden remain separate.</x:v>
      </x:c>
      <x:c r="Q56" s="2363" t="str">
        <x:v>Each care-item/indication is counted once. These are selected inventory counts, not national coverage rates or estimates of bias. Sex-specific eligibility and disease burden remain separate.</x:v>
      </x:c>
    </x:row>
    <x:row r="57" ht="46.5" customHeight="1">
      <x:c r="B57" s="2370" t="str">
        <x:v>Clinical basis</x:v>
      </x:c>
      <x:c r="C57" s="2370" t="str">
        <x:v>Clinical basis</x:v>
      </x:c>
      <x:c r="D57" s="2370" t="str">
        <x:v>Clinical basis</x:v>
      </x:c>
      <x:c r="E57" s="2370" t="str">
        <x:v>Clinical basis</x:v>
      </x:c>
      <x:c r="F57" s="2370" t="str">
        <x:v>Clinical basis</x:v>
      </x:c>
      <x:c r="G57" s="2291" t="str">
        <x:v>Covered with conditions</x:v>
      </x:c>
      <x:c r="H57" s="2291" t="str">
        <x:v>Covered with conditions</x:v>
      </x:c>
      <x:c r="I57" s="2291" t="str">
        <x:v>Plan dependent</x:v>
      </x:c>
      <x:c r="J57" s="2291" t="str">
        <x:v>Plan dependent</x:v>
      </x:c>
      <x:c r="K57" s="2291" t="str">
        <x:v>Excluded for this use</x:v>
      </x:c>
      <x:c r="L57" s="2291" t="str">
        <x:v>Excluded for this use</x:v>
      </x:c>
      <x:c r="M57" s="2291" t="str">
        <x:v>Local decision</x:v>
      </x:c>
      <x:c r="N57" s="2291" t="str">
        <x:v>Local decision</x:v>
      </x:c>
      <x:c r="O57" s="2291" t="str">
        <x:v>Not established</x:v>
      </x:c>
      <x:c r="P57" s="2291" t="str">
        <x:v>Not established</x:v>
      </x:c>
      <x:c r="Q57" s="2291" t="str">
        <x:v>Total</x:v>
      </x:c>
    </x:row>
    <x:row r="58" ht="33.75" customHeight="1">
      <x:c r="B58" s="2364" t="str">
        <x:v>Shared body systems / functions</x:v>
      </x:c>
      <x:c r="C58" s="2364" t="str">
        <x:v>Shared body systems / functions</x:v>
      </x:c>
      <x:c r="D58" s="2364" t="str">
        <x:v>Shared body systems / functions</x:v>
      </x:c>
      <x:c r="E58" s="2364" t="str">
        <x:v>Shared body systems / functions</x:v>
      </x:c>
      <x:c r="F58" s="2364" t="str">
        <x:v>Shared body systems / functions</x:v>
      </x:c>
      <x:c r="G58" s="2366" t="n">
        <x:f>'_Chart Helpers'!W2</x:f>
        <x:v>10</x:v>
      </x:c>
      <x:c r="H58" s="2366" t="str"/>
      <x:c r="I58" s="2366" t="n">
        <x:f>'_Chart Helpers'!X2</x:f>
        <x:v>0</x:v>
      </x:c>
      <x:c r="J58" s="2366" t="str"/>
      <x:c r="K58" s="2366" t="n">
        <x:f>'_Chart Helpers'!Y2</x:f>
        <x:v>4</x:v>
      </x:c>
      <x:c r="L58" s="2366" t="str"/>
      <x:c r="M58" s="2366" t="n">
        <x:f>'_Chart Helpers'!Z2</x:f>
        <x:v>2</x:v>
      </x:c>
      <x:c r="N58" s="2366" t="str"/>
      <x:c r="O58" s="2366" t="n">
        <x:f>'_Chart Helpers'!AA2</x:f>
        <x:v>0</x:v>
      </x:c>
      <x:c r="P58" s="2366" t="str"/>
      <x:c r="Q58" s="2366" t="n">
        <x:f>'_Chart Helpers'!AB2</x:f>
        <x:v>16</x:v>
      </x:c>
    </x:row>
    <x:row r="59" ht="33.75" customHeight="1">
      <x:c r="B59" s="2372" t="str">
        <x:v>Female reproductive anatomy</x:v>
      </x:c>
      <x:c r="C59" s="2372" t="str">
        <x:v>Female reproductive anatomy</x:v>
      </x:c>
      <x:c r="D59" s="2372" t="str">
        <x:v>Female reproductive anatomy</x:v>
      </x:c>
      <x:c r="E59" s="2372" t="str">
        <x:v>Female reproductive anatomy</x:v>
      </x:c>
      <x:c r="F59" s="2372" t="str">
        <x:v>Female reproductive anatomy</x:v>
      </x:c>
      <x:c r="G59" s="2374" t="n">
        <x:f>'_Chart Helpers'!W3</x:f>
        <x:v>2</x:v>
      </x:c>
      <x:c r="H59" s="2374" t="str"/>
      <x:c r="I59" s="2374" t="n">
        <x:f>'_Chart Helpers'!X3</x:f>
        <x:v>2</x:v>
      </x:c>
      <x:c r="J59" s="2374" t="str"/>
      <x:c r="K59" s="2374" t="n">
        <x:f>'_Chart Helpers'!Y3</x:f>
        <x:v>0</x:v>
      </x:c>
      <x:c r="L59" s="2374" t="str"/>
      <x:c r="M59" s="2374" t="n">
        <x:f>'_Chart Helpers'!Z3</x:f>
        <x:v>2</x:v>
      </x:c>
      <x:c r="N59" s="2374" t="str"/>
      <x:c r="O59" s="2374" t="n">
        <x:f>'_Chart Helpers'!AA3</x:f>
        <x:v>0</x:v>
      </x:c>
      <x:c r="P59" s="2374" t="str"/>
      <x:c r="Q59" s="2374" t="n">
        <x:f>'_Chart Helpers'!AB3</x:f>
        <x:v>6</x:v>
      </x:c>
    </x:row>
    <x:row r="60" ht="33.75" customHeight="1">
      <x:c r="B60" s="2364" t="str">
        <x:v>Male reproductive anatomy</x:v>
      </x:c>
      <x:c r="C60" s="2364" t="str">
        <x:v>Male reproductive anatomy</x:v>
      </x:c>
      <x:c r="D60" s="2364" t="str">
        <x:v>Male reproductive anatomy</x:v>
      </x:c>
      <x:c r="E60" s="2364" t="str">
        <x:v>Male reproductive anatomy</x:v>
      </x:c>
      <x:c r="F60" s="2364" t="str">
        <x:v>Male reproductive anatomy</x:v>
      </x:c>
      <x:c r="G60" s="2366" t="n">
        <x:f>'_Chart Helpers'!W4</x:f>
        <x:v>1</x:v>
      </x:c>
      <x:c r="H60" s="2366" t="str"/>
      <x:c r="I60" s="2366" t="n">
        <x:f>'_Chart Helpers'!X4</x:f>
        <x:v>0</x:v>
      </x:c>
      <x:c r="J60" s="2366" t="str"/>
      <x:c r="K60" s="2366" t="n">
        <x:f>'_Chart Helpers'!Y4</x:f>
        <x:v>1</x:v>
      </x:c>
      <x:c r="L60" s="2366" t="str"/>
      <x:c r="M60" s="2366" t="n">
        <x:f>'_Chart Helpers'!Z4</x:f>
        <x:v>0</x:v>
      </x:c>
      <x:c r="N60" s="2366" t="str"/>
      <x:c r="O60" s="2366" t="n">
        <x:f>'_Chart Helpers'!AA4</x:f>
        <x:v>0</x:v>
      </x:c>
      <x:c r="P60" s="2366" t="str"/>
      <x:c r="Q60" s="2366" t="n">
        <x:f>'_Chart Helpers'!AB4</x:f>
        <x:v>2</x:v>
      </x:c>
    </x:row>
    <x:row r="61" ht="33.75" customHeight="1">
      <x:c r="B61" s="2372" t="str">
        <x:v>Female reproductive physiology</x:v>
      </x:c>
      <x:c r="C61" s="2372" t="str">
        <x:v>Female reproductive physiology</x:v>
      </x:c>
      <x:c r="D61" s="2372" t="str">
        <x:v>Female reproductive physiology</x:v>
      </x:c>
      <x:c r="E61" s="2372" t="str">
        <x:v>Female reproductive physiology</x:v>
      </x:c>
      <x:c r="F61" s="2372" t="str">
        <x:v>Female reproductive physiology</x:v>
      </x:c>
      <x:c r="G61" s="2374" t="n">
        <x:f>'_Chart Helpers'!W5</x:f>
        <x:v>1</x:v>
      </x:c>
      <x:c r="H61" s="2374" t="str"/>
      <x:c r="I61" s="2374" t="n">
        <x:f>'_Chart Helpers'!X5</x:f>
        <x:v>5</x:v>
      </x:c>
      <x:c r="J61" s="2374" t="str"/>
      <x:c r="K61" s="2374" t="n">
        <x:f>'_Chart Helpers'!Y5</x:f>
        <x:v>0</x:v>
      </x:c>
      <x:c r="L61" s="2374" t="str"/>
      <x:c r="M61" s="2374" t="n">
        <x:f>'_Chart Helpers'!Z5</x:f>
        <x:v>0</x:v>
      </x:c>
      <x:c r="N61" s="2374" t="str"/>
      <x:c r="O61" s="2374" t="n">
        <x:f>'_Chart Helpers'!AA5</x:f>
        <x:v>0</x:v>
      </x:c>
      <x:c r="P61" s="2374" t="str"/>
      <x:c r="Q61" s="2374" t="n">
        <x:f>'_Chart Helpers'!AB5</x:f>
        <x:v>6</x:v>
      </x:c>
    </x:row>
    <x:row r="62" ht="33.75" customHeight="1">
      <x:c r="B62" s="2364" t="str">
        <x:v>Male reproductive physiology</x:v>
      </x:c>
      <x:c r="C62" s="2364" t="str">
        <x:v>Male reproductive physiology</x:v>
      </x:c>
      <x:c r="D62" s="2364" t="str">
        <x:v>Male reproductive physiology</x:v>
      </x:c>
      <x:c r="E62" s="2364" t="str">
        <x:v>Male reproductive physiology</x:v>
      </x:c>
      <x:c r="F62" s="2364" t="str">
        <x:v>Male reproductive physiology</x:v>
      </x:c>
      <x:c r="G62" s="2366" t="n">
        <x:f>'_Chart Helpers'!W6</x:f>
        <x:v>1</x:v>
      </x:c>
      <x:c r="H62" s="2366" t="str"/>
      <x:c r="I62" s="2366" t="n">
        <x:f>'_Chart Helpers'!X6</x:f>
        <x:v>0</x:v>
      </x:c>
      <x:c r="J62" s="2366" t="str"/>
      <x:c r="K62" s="2366" t="n">
        <x:f>'_Chart Helpers'!Y6</x:f>
        <x:v>0</x:v>
      </x:c>
      <x:c r="L62" s="2366" t="str"/>
      <x:c r="M62" s="2366" t="n">
        <x:f>'_Chart Helpers'!Z6</x:f>
        <x:v>0</x:v>
      </x:c>
      <x:c r="N62" s="2366" t="str"/>
      <x:c r="O62" s="2366" t="n">
        <x:f>'_Chart Helpers'!AA6</x:f>
        <x:v>0</x:v>
      </x:c>
      <x:c r="P62" s="2366" t="str"/>
      <x:c r="Q62" s="2366" t="n">
        <x:f>'_Chart Helpers'!AB6</x:f>
        <x:v>1</x:v>
      </x:c>
    </x:row>
    <x:row r="63" ht="33.75" customHeight="1">
      <x:c r="B63" s="2372" t="str">
        <x:v>Mixed or site-dependent</x:v>
      </x:c>
      <x:c r="C63" s="2372" t="str">
        <x:v>Mixed or site-dependent</x:v>
      </x:c>
      <x:c r="D63" s="2372" t="str">
        <x:v>Mixed or site-dependent</x:v>
      </x:c>
      <x:c r="E63" s="2372" t="str">
        <x:v>Mixed or site-dependent</x:v>
      </x:c>
      <x:c r="F63" s="2372" t="str">
        <x:v>Mixed or site-dependent</x:v>
      </x:c>
      <x:c r="G63" s="2374" t="n">
        <x:f>'_Chart Helpers'!W7</x:f>
        <x:v>1</x:v>
      </x:c>
      <x:c r="H63" s="2374" t="str"/>
      <x:c r="I63" s="2374" t="n">
        <x:f>'_Chart Helpers'!X7</x:f>
        <x:v>0</x:v>
      </x:c>
      <x:c r="J63" s="2374" t="str"/>
      <x:c r="K63" s="2374" t="n">
        <x:f>'_Chart Helpers'!Y7</x:f>
        <x:v>2</x:v>
      </x:c>
      <x:c r="L63" s="2374" t="str"/>
      <x:c r="M63" s="2374" t="n">
        <x:f>'_Chart Helpers'!Z7</x:f>
        <x:v>1</x:v>
      </x:c>
      <x:c r="N63" s="2374" t="str"/>
      <x:c r="O63" s="2374" t="n">
        <x:f>'_Chart Helpers'!AA7</x:f>
        <x:v>5</x:v>
      </x:c>
      <x:c r="P63" s="2374" t="str"/>
      <x:c r="Q63" s="2374" t="n">
        <x:f>'_Chart Helpers'!AB7</x:f>
        <x:v>9</x:v>
      </x:c>
    </x:row>
    <x:row r="64" ht="33.75" customHeight="1">
      <x:c r="B64" s="2370" t="str">
        <x:v>Total inventory</x:v>
      </x:c>
      <x:c r="C64" s="2370" t="str">
        <x:v>Total inventory</x:v>
      </x:c>
      <x:c r="D64" s="2370" t="str">
        <x:v>Total inventory</x:v>
      </x:c>
      <x:c r="E64" s="2370" t="str">
        <x:v>Total inventory</x:v>
      </x:c>
      <x:c r="F64" s="2370" t="str">
        <x:v>Total inventory</x:v>
      </x:c>
      <x:c r="G64" s="2376" t="n">
        <x:f>'_Chart Helpers'!W8</x:f>
        <x:v>16</x:v>
      </x:c>
      <x:c r="H64" s="2376" t="str"/>
      <x:c r="I64" s="2376" t="n">
        <x:f>'_Chart Helpers'!X8</x:f>
        <x:v>7</x:v>
      </x:c>
      <x:c r="J64" s="2376" t="str"/>
      <x:c r="K64" s="2376" t="n">
        <x:f>'_Chart Helpers'!Y8</x:f>
        <x:v>7</x:v>
      </x:c>
      <x:c r="L64" s="2376" t="str"/>
      <x:c r="M64" s="2376" t="n">
        <x:f>'_Chart Helpers'!Z8</x:f>
        <x:v>5</x:v>
      </x:c>
      <x:c r="N64" s="2376" t="str"/>
      <x:c r="O64" s="2376" t="n">
        <x:f>'_Chart Helpers'!AA8</x:f>
        <x:v>5</x:v>
      </x:c>
      <x:c r="P64" s="2376" t="str"/>
      <x:c r="Q64" s="2376" t="n">
        <x:f>'_Chart Helpers'!AB8</x:f>
        <x:v>40</x:v>
      </x:c>
    </x:row>
    <x:row r="65">
      <x:c r="B65" s="2367"/>
      <x:c r="C65" s="2367"/>
      <x:c r="D65" s="2367"/>
      <x:c r="E65" s="2367"/>
      <x:c r="F65" s="2367"/>
      <x:c r="G65" s="2367"/>
      <x:c r="H65" s="2367"/>
      <x:c r="I65" s="2367"/>
      <x:c r="J65" s="2367"/>
      <x:c r="K65" s="2367"/>
      <x:c r="L65" s="2367"/>
      <x:c r="M65" s="2367"/>
      <x:c r="N65" s="2367"/>
      <x:c r="O65" s="2367"/>
      <x:c r="P65" s="2367"/>
      <x:c r="Q65" s="2367"/>
    </x:row>
    <x:row r="66">
      <x:c r="B66" s="2377" t="str">
        <x:v>Shared systems: compare clinical need and access, including unmet care. Breast, bone and pelvic-floor care remain shared even when eligibility is sex-specific. Clinical need is assessed independently of reimbursement rules.</x:v>
      </x:c>
      <x:c r="C66" s="2377" t="str">
        <x:v>Shared systems: compare clinical need and access, including unmet care. Breast, bone and pelvic-floor care remain shared even when eligibility is sex-specific. Clinical need is assessed independently of reimbursement rules.</x:v>
      </x:c>
      <x:c r="D66" s="2377" t="str">
        <x:v>Shared systems: compare clinical need and access, including unmet care. Breast, bone and pelvic-floor care remain shared even when eligibility is sex-specific. Clinical need is assessed independently of reimbursement rules.</x:v>
      </x:c>
      <x:c r="E66" s="2377" t="str">
        <x:v>Shared systems: compare clinical need and access, including unmet care. Breast, bone and pelvic-floor care remain shared even when eligibility is sex-specific. Clinical need is assessed independently of reimbursement rules.</x:v>
      </x:c>
      <x:c r="F66" s="2377" t="str">
        <x:v>Shared systems: compare clinical need and access, including unmet care. Breast, bone and pelvic-floor care remain shared even when eligibility is sex-specific. Clinical need is assessed independently of reimbursement rules.</x:v>
      </x:c>
      <x:c r="G66" s="2377" t="str">
        <x:v>Shared systems: compare clinical need and access, including unmet care. Breast, bone and pelvic-floor care remain shared even when eligibility is sex-specific. Clinical need is assessed independently of reimbursement rules.</x:v>
      </x:c>
      <x:c r="H66" s="2377" t="str">
        <x:v>Shared systems: compare clinical need and access, including unmet care. Breast, bone and pelvic-floor care remain shared even when eligibility is sex-specific. Clinical need is assessed independently of reimbursement rules.</x:v>
      </x:c>
      <x:c r="I66" s="2377" t="str">
        <x:v>Shared systems: compare clinical need and access, including unmet care. Breast, bone and pelvic-floor care remain shared even when eligibility is sex-specific. Clinical need is assessed independently of reimbursement rules.</x:v>
      </x:c>
      <x:c r="J66" s="2377" t="str">
        <x:v>Reproductive anatomy and physiology: assess clinical need, benefit and policy consistency. A male/female counterpart is not required; cross-procedure matches must account for purpose and resources.</x:v>
      </x:c>
      <x:c r="K66" s="2377" t="str">
        <x:v>Reproductive anatomy and physiology: assess clinical need, benefit and policy consistency. A male/female counterpart is not required; cross-procedure matches must account for purpose and resources.</x:v>
      </x:c>
      <x:c r="L66" s="2377" t="str">
        <x:v>Reproductive anatomy and physiology: assess clinical need, benefit and policy consistency. A male/female counterpart is not required; cross-procedure matches must account for purpose and resources.</x:v>
      </x:c>
      <x:c r="M66" s="2377" t="str">
        <x:v>Reproductive anatomy and physiology: assess clinical need, benefit and policy consistency. A male/female counterpart is not required; cross-procedure matches must account for purpose and resources.</x:v>
      </x:c>
      <x:c r="N66" s="2377" t="str">
        <x:v>Reproductive anatomy and physiology: assess clinical need, benefit and policy consistency. A male/female counterpart is not required; cross-procedure matches must account for purpose and resources.</x:v>
      </x:c>
      <x:c r="O66" s="2377" t="str">
        <x:v>Reproductive anatomy and physiology: assess clinical need, benefit and policy consistency. A male/female counterpart is not required; cross-procedure matches must account for purpose and resources.</x:v>
      </x:c>
      <x:c r="P66" s="2377" t="str">
        <x:v>Reproductive anatomy and physiology: assess clinical need, benefit and policy consistency. A male/female counterpart is not required; cross-procedure matches must account for purpose and resources.</x:v>
      </x:c>
      <x:c r="Q66" s="2377" t="str">
        <x:v>Reproductive anatomy and physiology: assess clinical need, benefit and policy consistency. A male/female counterpart is not required; cross-procedure matches must account for purpose and resources.</x:v>
      </x:c>
    </x:row>
    <x:row r="67">
      <x:c r="B67" s="2377" t="str">
        <x:v>Shared systems: compare clinical need and access, including unmet care. Breast, bone and pelvic-floor care remain shared even when eligibility is sex-specific. Clinical need is assessed independently of reimbursement rules.</x:v>
      </x:c>
      <x:c r="C67" s="2377" t="str">
        <x:v>Shared systems: compare clinical need and access, including unmet care. Breast, bone and pelvic-floor care remain shared even when eligibility is sex-specific. Clinical need is assessed independently of reimbursement rules.</x:v>
      </x:c>
      <x:c r="D67" s="2377" t="str">
        <x:v>Shared systems: compare clinical need and access, including unmet care. Breast, bone and pelvic-floor care remain shared even when eligibility is sex-specific. Clinical need is assessed independently of reimbursement rules.</x:v>
      </x:c>
      <x:c r="E67" s="2377" t="str">
        <x:v>Shared systems: compare clinical need and access, including unmet care. Breast, bone and pelvic-floor care remain shared even when eligibility is sex-specific. Clinical need is assessed independently of reimbursement rules.</x:v>
      </x:c>
      <x:c r="F67" s="2377" t="str">
        <x:v>Shared systems: compare clinical need and access, including unmet care. Breast, bone and pelvic-floor care remain shared even when eligibility is sex-specific. Clinical need is assessed independently of reimbursement rules.</x:v>
      </x:c>
      <x:c r="G67" s="2377" t="str">
        <x:v>Shared systems: compare clinical need and access, including unmet care. Breast, bone and pelvic-floor care remain shared even when eligibility is sex-specific. Clinical need is assessed independently of reimbursement rules.</x:v>
      </x:c>
      <x:c r="H67" s="2377" t="str">
        <x:v>Shared systems: compare clinical need and access, including unmet care. Breast, bone and pelvic-floor care remain shared even when eligibility is sex-specific. Clinical need is assessed independently of reimbursement rules.</x:v>
      </x:c>
      <x:c r="I67" s="2377" t="str">
        <x:v>Shared systems: compare clinical need and access, including unmet care. Breast, bone and pelvic-floor care remain shared even when eligibility is sex-specific. Clinical need is assessed independently of reimbursement rules.</x:v>
      </x:c>
      <x:c r="J67" s="2377" t="str">
        <x:v>Reproductive anatomy and physiology: assess clinical need, benefit and policy consistency. A male/female counterpart is not required; cross-procedure matches must account for purpose and resources.</x:v>
      </x:c>
      <x:c r="K67" s="2377" t="str">
        <x:v>Reproductive anatomy and physiology: assess clinical need, benefit and policy consistency. A male/female counterpart is not required; cross-procedure matches must account for purpose and resources.</x:v>
      </x:c>
      <x:c r="L67" s="2377" t="str">
        <x:v>Reproductive anatomy and physiology: assess clinical need, benefit and policy consistency. A male/female counterpart is not required; cross-procedure matches must account for purpose and resources.</x:v>
      </x:c>
      <x:c r="M67" s="2377" t="str">
        <x:v>Reproductive anatomy and physiology: assess clinical need, benefit and policy consistency. A male/female counterpart is not required; cross-procedure matches must account for purpose and resources.</x:v>
      </x:c>
      <x:c r="N67" s="2377" t="str">
        <x:v>Reproductive anatomy and physiology: assess clinical need, benefit and policy consistency. A male/female counterpart is not required; cross-procedure matches must account for purpose and resources.</x:v>
      </x:c>
      <x:c r="O67" s="2377" t="str">
        <x:v>Reproductive anatomy and physiology: assess clinical need, benefit and policy consistency. A male/female counterpart is not required; cross-procedure matches must account for purpose and resources.</x:v>
      </x:c>
      <x:c r="P67" s="2377" t="str">
        <x:v>Reproductive anatomy and physiology: assess clinical need, benefit and policy consistency. A male/female counterpart is not required; cross-procedure matches must account for purpose and resources.</x:v>
      </x:c>
      <x:c r="Q67" s="2377" t="str">
        <x:v>Reproductive anatomy and physiology: assess clinical need, benefit and policy consistency. A male/female counterpart is not required; cross-procedure matches must account for purpose and resources.</x:v>
      </x:c>
    </x:row>
    <x:row r="68">
      <x:c r="B68" s="2377" t="str">
        <x:v>Shared systems: compare clinical need and access, including unmet care. Breast, bone and pelvic-floor care remain shared even when eligibility is sex-specific. Clinical need is assessed independently of reimbursement rules.</x:v>
      </x:c>
      <x:c r="C68" s="2377" t="str">
        <x:v>Shared systems: compare clinical need and access, including unmet care. Breast, bone and pelvic-floor care remain shared even when eligibility is sex-specific. Clinical need is assessed independently of reimbursement rules.</x:v>
      </x:c>
      <x:c r="D68" s="2377" t="str">
        <x:v>Shared systems: compare clinical need and access, including unmet care. Breast, bone and pelvic-floor care remain shared even when eligibility is sex-specific. Clinical need is assessed independently of reimbursement rules.</x:v>
      </x:c>
      <x:c r="E68" s="2377" t="str">
        <x:v>Shared systems: compare clinical need and access, including unmet care. Breast, bone and pelvic-floor care remain shared even when eligibility is sex-specific. Clinical need is assessed independently of reimbursement rules.</x:v>
      </x:c>
      <x:c r="F68" s="2377" t="str">
        <x:v>Shared systems: compare clinical need and access, including unmet care. Breast, bone and pelvic-floor care remain shared even when eligibility is sex-specific. Clinical need is assessed independently of reimbursement rules.</x:v>
      </x:c>
      <x:c r="G68" s="2377" t="str">
        <x:v>Shared systems: compare clinical need and access, including unmet care. Breast, bone and pelvic-floor care remain shared even when eligibility is sex-specific. Clinical need is assessed independently of reimbursement rules.</x:v>
      </x:c>
      <x:c r="H68" s="2377" t="str">
        <x:v>Shared systems: compare clinical need and access, including unmet care. Breast, bone and pelvic-floor care remain shared even when eligibility is sex-specific. Clinical need is assessed independently of reimbursement rules.</x:v>
      </x:c>
      <x:c r="I68" s="2377" t="str">
        <x:v>Shared systems: compare clinical need and access, including unmet care. Breast, bone and pelvic-floor care remain shared even when eligibility is sex-specific. Clinical need is assessed independently of reimbursement rules.</x:v>
      </x:c>
      <x:c r="J68" s="2377" t="str">
        <x:v>Reproductive anatomy and physiology: assess clinical need, benefit and policy consistency. A male/female counterpart is not required; cross-procedure matches must account for purpose and resources.</x:v>
      </x:c>
      <x:c r="K68" s="2377" t="str">
        <x:v>Reproductive anatomy and physiology: assess clinical need, benefit and policy consistency. A male/female counterpart is not required; cross-procedure matches must account for purpose and resources.</x:v>
      </x:c>
      <x:c r="L68" s="2377" t="str">
        <x:v>Reproductive anatomy and physiology: assess clinical need, benefit and policy consistency. A male/female counterpart is not required; cross-procedure matches must account for purpose and resources.</x:v>
      </x:c>
      <x:c r="M68" s="2377" t="str">
        <x:v>Reproductive anatomy and physiology: assess clinical need, benefit and policy consistency. A male/female counterpart is not required; cross-procedure matches must account for purpose and resources.</x:v>
      </x:c>
      <x:c r="N68" s="2377" t="str">
        <x:v>Reproductive anatomy and physiology: assess clinical need, benefit and policy consistency. A male/female counterpart is not required; cross-procedure matches must account for purpose and resources.</x:v>
      </x:c>
      <x:c r="O68" s="2377" t="str">
        <x:v>Reproductive anatomy and physiology: assess clinical need, benefit and policy consistency. A male/female counterpart is not required; cross-procedure matches must account for purpose and resources.</x:v>
      </x:c>
      <x:c r="P68" s="2377" t="str">
        <x:v>Reproductive anatomy and physiology: assess clinical need, benefit and policy consistency. A male/female counterpart is not required; cross-procedure matches must account for purpose and resources.</x:v>
      </x:c>
      <x:c r="Q68" s="2377" t="str">
        <x:v>Reproductive anatomy and physiology: assess clinical need, benefit and policy consistency. A male/female counterpart is not required; cross-procedure matches must account for purpose and resources.</x:v>
      </x:c>
    </x:row>
    <x:row r="69">
      <x:c r="B69" s="2377" t="str">
        <x:v>Shared systems: compare clinical need and access, including unmet care. Breast, bone and pelvic-floor care remain shared even when eligibility is sex-specific. Clinical need is assessed independently of reimbursement rules.</x:v>
      </x:c>
      <x:c r="C69" s="2377" t="str">
        <x:v>Shared systems: compare clinical need and access, including unmet care. Breast, bone and pelvic-floor care remain shared even when eligibility is sex-specific. Clinical need is assessed independently of reimbursement rules.</x:v>
      </x:c>
      <x:c r="D69" s="2377" t="str">
        <x:v>Shared systems: compare clinical need and access, including unmet care. Breast, bone and pelvic-floor care remain shared even when eligibility is sex-specific. Clinical need is assessed independently of reimbursement rules.</x:v>
      </x:c>
      <x:c r="E69" s="2377" t="str">
        <x:v>Shared systems: compare clinical need and access, including unmet care. Breast, bone and pelvic-floor care remain shared even when eligibility is sex-specific. Clinical need is assessed independently of reimbursement rules.</x:v>
      </x:c>
      <x:c r="F69" s="2377" t="str">
        <x:v>Shared systems: compare clinical need and access, including unmet care. Breast, bone and pelvic-floor care remain shared even when eligibility is sex-specific. Clinical need is assessed independently of reimbursement rules.</x:v>
      </x:c>
      <x:c r="G69" s="2377" t="str">
        <x:v>Shared systems: compare clinical need and access, including unmet care. Breast, bone and pelvic-floor care remain shared even when eligibility is sex-specific. Clinical need is assessed independently of reimbursement rules.</x:v>
      </x:c>
      <x:c r="H69" s="2377" t="str">
        <x:v>Shared systems: compare clinical need and access, including unmet care. Breast, bone and pelvic-floor care remain shared even when eligibility is sex-specific. Clinical need is assessed independently of reimbursement rules.</x:v>
      </x:c>
      <x:c r="I69" s="2377" t="str">
        <x:v>Shared systems: compare clinical need and access, including unmet care. Breast, bone and pelvic-floor care remain shared even when eligibility is sex-specific. Clinical need is assessed independently of reimbursement rules.</x:v>
      </x:c>
      <x:c r="J69" s="2377" t="str">
        <x:v>Reproductive anatomy and physiology: assess clinical need, benefit and policy consistency. A male/female counterpart is not required; cross-procedure matches must account for purpose and resources.</x:v>
      </x:c>
      <x:c r="K69" s="2377" t="str">
        <x:v>Reproductive anatomy and physiology: assess clinical need, benefit and policy consistency. A male/female counterpart is not required; cross-procedure matches must account for purpose and resources.</x:v>
      </x:c>
      <x:c r="L69" s="2377" t="str">
        <x:v>Reproductive anatomy and physiology: assess clinical need, benefit and policy consistency. A male/female counterpart is not required; cross-procedure matches must account for purpose and resources.</x:v>
      </x:c>
      <x:c r="M69" s="2377" t="str">
        <x:v>Reproductive anatomy and physiology: assess clinical need, benefit and policy consistency. A male/female counterpart is not required; cross-procedure matches must account for purpose and resources.</x:v>
      </x:c>
      <x:c r="N69" s="2377" t="str">
        <x:v>Reproductive anatomy and physiology: assess clinical need, benefit and policy consistency. A male/female counterpart is not required; cross-procedure matches must account for purpose and resources.</x:v>
      </x:c>
      <x:c r="O69" s="2377" t="str">
        <x:v>Reproductive anatomy and physiology: assess clinical need, benefit and policy consistency. A male/female counterpart is not required; cross-procedure matches must account for purpose and resources.</x:v>
      </x:c>
      <x:c r="P69" s="2377" t="str">
        <x:v>Reproductive anatomy and physiology: assess clinical need, benefit and policy consistency. A male/female counterpart is not required; cross-procedure matches must account for purpose and resources.</x:v>
      </x:c>
      <x:c r="Q69" s="2377" t="str">
        <x:v>Reproductive anatomy and physiology: assess clinical need, benefit and policy consistency. A male/female counterpart is not required; cross-procedure matches must account for purpose and resources.</x:v>
      </x:c>
    </x:row>
    <x:row r="70">
      <x:c r="B70" s="2367"/>
      <x:c r="C70" s="2367"/>
      <x:c r="D70" s="2367"/>
      <x:c r="E70" s="2367"/>
      <x:c r="F70" s="2367"/>
      <x:c r="G70" s="2367"/>
      <x:c r="H70" s="2367"/>
      <x:c r="I70" s="2367"/>
      <x:c r="J70" s="2367"/>
      <x:c r="K70" s="2367"/>
      <x:c r="L70" s="2367"/>
      <x:c r="M70" s="2367"/>
      <x:c r="N70" s="2367"/>
      <x:c r="O70" s="2367"/>
      <x:c r="P70" s="2367"/>
      <x:c r="Q70" s="2367"/>
    </x:row>
    <x:row r="71">
      <x:c r="B71" s="2377" t="str">
        <x:v>Mixed or site-dependent rows require component review. Endometriosis surgery depends on lesion site; the broad prolapse row remains provisional until the anatomy and repair codes are verified. See Data &amp; Targets, columns U–X, for every classification.</x:v>
      </x:c>
      <x:c r="C71" s="2377" t="str">
        <x:v>Mixed or site-dependent rows require component review. Endometriosis surgery depends on lesion site; the broad prolapse row remains provisional until the anatomy and repair codes are verified. See Data &amp; Targets, columns U–X, for every classification.</x:v>
      </x:c>
      <x:c r="D71" s="2377" t="str">
        <x:v>Mixed or site-dependent rows require component review. Endometriosis surgery depends on lesion site; the broad prolapse row remains provisional until the anatomy and repair codes are verified. See Data &amp; Targets, columns U–X, for every classification.</x:v>
      </x:c>
      <x:c r="E71" s="2377" t="str">
        <x:v>Mixed or site-dependent rows require component review. Endometriosis surgery depends on lesion site; the broad prolapse row remains provisional until the anatomy and repair codes are verified. See Data &amp; Targets, columns U–X, for every classification.</x:v>
      </x:c>
      <x:c r="F71" s="2377" t="str">
        <x:v>Mixed or site-dependent rows require component review. Endometriosis surgery depends on lesion site; the broad prolapse row remains provisional until the anatomy and repair codes are verified. See Data &amp; Targets, columns U–X, for every classification.</x:v>
      </x:c>
      <x:c r="G71" s="2377" t="str">
        <x:v>Mixed or site-dependent rows require component review. Endometriosis surgery depends on lesion site; the broad prolapse row remains provisional until the anatomy and repair codes are verified. See Data &amp; Targets, columns U–X, for every classification.</x:v>
      </x:c>
      <x:c r="H71" s="2377" t="str">
        <x:v>Mixed or site-dependent rows require component review. Endometriosis surgery depends on lesion site; the broad prolapse row remains provisional until the anatomy and repair codes are verified. See Data &amp; Targets, columns U–X, for every classification.</x:v>
      </x:c>
      <x:c r="I71" s="2377" t="str">
        <x:v>Mixed or site-dependent rows require component review. Endometriosis surgery depends on lesion site; the broad prolapse row remains provisional until the anatomy and repair codes are verified. See Data &amp; Targets, columns U–X, for every classification.</x:v>
      </x:c>
      <x:c r="J71" s="2377" t="str">
        <x:v>Mixed or site-dependent rows require component review. Endometriosis surgery depends on lesion site; the broad prolapse row remains provisional until the anatomy and repair codes are verified. See Data &amp; Targets, columns U–X, for every classification.</x:v>
      </x:c>
      <x:c r="K71" s="2377" t="str">
        <x:v>Mixed or site-dependent rows require component review. Endometriosis surgery depends on lesion site; the broad prolapse row remains provisional until the anatomy and repair codes are verified. See Data &amp; Targets, columns U–X, for every classification.</x:v>
      </x:c>
      <x:c r="L71" s="2377" t="str">
        <x:v>Mixed or site-dependent rows require component review. Endometriosis surgery depends on lesion site; the broad prolapse row remains provisional until the anatomy and repair codes are verified. See Data &amp; Targets, columns U–X, for every classification.</x:v>
      </x:c>
      <x:c r="M71" s="2377" t="str">
        <x:v>Mixed or site-dependent rows require component review. Endometriosis surgery depends on lesion site; the broad prolapse row remains provisional until the anatomy and repair codes are verified. See Data &amp; Targets, columns U–X, for every classification.</x:v>
      </x:c>
      <x:c r="N71" s="2377" t="str">
        <x:v>Mixed or site-dependent rows require component review. Endometriosis surgery depends on lesion site; the broad prolapse row remains provisional until the anatomy and repair codes are verified. See Data &amp; Targets, columns U–X, for every classification.</x:v>
      </x:c>
      <x:c r="O71" s="2377" t="str">
        <x:v>Mixed or site-dependent rows require component review. Endometriosis surgery depends on lesion site; the broad prolapse row remains provisional until the anatomy and repair codes are verified. See Data &amp; Targets, columns U–X, for every classification.</x:v>
      </x:c>
      <x:c r="P71" s="2377" t="str">
        <x:v>Mixed or site-dependent rows require component review. Endometriosis surgery depends on lesion site; the broad prolapse row remains provisional until the anatomy and repair codes are verified. See Data &amp; Targets, columns U–X, for every classification.</x:v>
      </x:c>
      <x:c r="Q71" s="2377" t="str">
        <x:v>Mixed or site-dependent rows require component review. Endometriosis surgery depends on lesion site; the broad prolapse row remains provisional until the anatomy and repair codes are verified. See Data &amp; Targets, columns U–X, for every classification.</x:v>
      </x:c>
    </x:row>
    <x:row r="72">
      <x:c r="B72" s="2377" t="str">
        <x:v>Mixed or site-dependent rows require component review. Endometriosis surgery depends on lesion site; the broad prolapse row remains provisional until the anatomy and repair codes are verified. See Data &amp; Targets, columns U–X, for every classification.</x:v>
      </x:c>
      <x:c r="C72" s="2377" t="str">
        <x:v>Mixed or site-dependent rows require component review. Endometriosis surgery depends on lesion site; the broad prolapse row remains provisional until the anatomy and repair codes are verified. See Data &amp; Targets, columns U–X, for every classification.</x:v>
      </x:c>
      <x:c r="D72" s="2377" t="str">
        <x:v>Mixed or site-dependent rows require component review. Endometriosis surgery depends on lesion site; the broad prolapse row remains provisional until the anatomy and repair codes are verified. See Data &amp; Targets, columns U–X, for every classification.</x:v>
      </x:c>
      <x:c r="E72" s="2377" t="str">
        <x:v>Mixed or site-dependent rows require component review. Endometriosis surgery depends on lesion site; the broad prolapse row remains provisional until the anatomy and repair codes are verified. See Data &amp; Targets, columns U–X, for every classification.</x:v>
      </x:c>
      <x:c r="F72" s="2377" t="str">
        <x:v>Mixed or site-dependent rows require component review. Endometriosis surgery depends on lesion site; the broad prolapse row remains provisional until the anatomy and repair codes are verified. See Data &amp; Targets, columns U–X, for every classification.</x:v>
      </x:c>
      <x:c r="G72" s="2377" t="str">
        <x:v>Mixed or site-dependent rows require component review. Endometriosis surgery depends on lesion site; the broad prolapse row remains provisional until the anatomy and repair codes are verified. See Data &amp; Targets, columns U–X, for every classification.</x:v>
      </x:c>
      <x:c r="H72" s="2377" t="str">
        <x:v>Mixed or site-dependent rows require component review. Endometriosis surgery depends on lesion site; the broad prolapse row remains provisional until the anatomy and repair codes are verified. See Data &amp; Targets, columns U–X, for every classification.</x:v>
      </x:c>
      <x:c r="I72" s="2377" t="str">
        <x:v>Mixed or site-dependent rows require component review. Endometriosis surgery depends on lesion site; the broad prolapse row remains provisional until the anatomy and repair codes are verified. See Data &amp; Targets, columns U–X, for every classification.</x:v>
      </x:c>
      <x:c r="J72" s="2377" t="str">
        <x:v>Mixed or site-dependent rows require component review. Endometriosis surgery depends on lesion site; the broad prolapse row remains provisional until the anatomy and repair codes are verified. See Data &amp; Targets, columns U–X, for every classification.</x:v>
      </x:c>
      <x:c r="K72" s="2377" t="str">
        <x:v>Mixed or site-dependent rows require component review. Endometriosis surgery depends on lesion site; the broad prolapse row remains provisional until the anatomy and repair codes are verified. See Data &amp; Targets, columns U–X, for every classification.</x:v>
      </x:c>
      <x:c r="L72" s="2377" t="str">
        <x:v>Mixed or site-dependent rows require component review. Endometriosis surgery depends on lesion site; the broad prolapse row remains provisional until the anatomy and repair codes are verified. See Data &amp; Targets, columns U–X, for every classification.</x:v>
      </x:c>
      <x:c r="M72" s="2377" t="str">
        <x:v>Mixed or site-dependent rows require component review. Endometriosis surgery depends on lesion site; the broad prolapse row remains provisional until the anatomy and repair codes are verified. See Data &amp; Targets, columns U–X, for every classification.</x:v>
      </x:c>
      <x:c r="N72" s="2377" t="str">
        <x:v>Mixed or site-dependent rows require component review. Endometriosis surgery depends on lesion site; the broad prolapse row remains provisional until the anatomy and repair codes are verified. See Data &amp; Targets, columns U–X, for every classification.</x:v>
      </x:c>
      <x:c r="O72" s="2377" t="str">
        <x:v>Mixed or site-dependent rows require component review. Endometriosis surgery depends on lesion site; the broad prolapse row remains provisional until the anatomy and repair codes are verified. See Data &amp; Targets, columns U–X, for every classification.</x:v>
      </x:c>
      <x:c r="P72" s="2377" t="str">
        <x:v>Mixed or site-dependent rows require component review. Endometriosis surgery depends on lesion site; the broad prolapse row remains provisional until the anatomy and repair codes are verified. See Data &amp; Targets, columns U–X, for every classification.</x:v>
      </x:c>
      <x:c r="Q72" s="2377" t="str">
        <x:v>Mixed or site-dependent rows require component review. Endometriosis surgery depends on lesion site; the broad prolapse row remains provisional until the anatomy and repair codes are verified. See Data &amp; Targets, columns U–X, for every classification.</x:v>
      </x:c>
    </x:row>
    <x:row r="73">
      <x:c r="B73" s="2377" t="str">
        <x:v>Mixed or site-dependent rows require component review. Endometriosis surgery depends on lesion site; the broad prolapse row remains provisional until the anatomy and repair codes are verified. See Data &amp; Targets, columns U–X, for every classification.</x:v>
      </x:c>
      <x:c r="C73" s="2377" t="str">
        <x:v>Mixed or site-dependent rows require component review. Endometriosis surgery depends on lesion site; the broad prolapse row remains provisional until the anatomy and repair codes are verified. See Data &amp; Targets, columns U–X, for every classification.</x:v>
      </x:c>
      <x:c r="D73" s="2377" t="str">
        <x:v>Mixed or site-dependent rows require component review. Endometriosis surgery depends on lesion site; the broad prolapse row remains provisional until the anatomy and repair codes are verified. See Data &amp; Targets, columns U–X, for every classification.</x:v>
      </x:c>
      <x:c r="E73" s="2377" t="str">
        <x:v>Mixed or site-dependent rows require component review. Endometriosis surgery depends on lesion site; the broad prolapse row remains provisional until the anatomy and repair codes are verified. See Data &amp; Targets, columns U–X, for every classification.</x:v>
      </x:c>
      <x:c r="F73" s="2377" t="str">
        <x:v>Mixed or site-dependent rows require component review. Endometriosis surgery depends on lesion site; the broad prolapse row remains provisional until the anatomy and repair codes are verified. See Data &amp; Targets, columns U–X, for every classification.</x:v>
      </x:c>
      <x:c r="G73" s="2377" t="str">
        <x:v>Mixed or site-dependent rows require component review. Endometriosis surgery depends on lesion site; the broad prolapse row remains provisional until the anatomy and repair codes are verified. See Data &amp; Targets, columns U–X, for every classification.</x:v>
      </x:c>
      <x:c r="H73" s="2377" t="str">
        <x:v>Mixed or site-dependent rows require component review. Endometriosis surgery depends on lesion site; the broad prolapse row remains provisional until the anatomy and repair codes are verified. See Data &amp; Targets, columns U–X, for every classification.</x:v>
      </x:c>
      <x:c r="I73" s="2377" t="str">
        <x:v>Mixed or site-dependent rows require component review. Endometriosis surgery depends on lesion site; the broad prolapse row remains provisional until the anatomy and repair codes are verified. See Data &amp; Targets, columns U–X, for every classification.</x:v>
      </x:c>
      <x:c r="J73" s="2377" t="str">
        <x:v>Mixed or site-dependent rows require component review. Endometriosis surgery depends on lesion site; the broad prolapse row remains provisional until the anatomy and repair codes are verified. See Data &amp; Targets, columns U–X, for every classification.</x:v>
      </x:c>
      <x:c r="K73" s="2377" t="str">
        <x:v>Mixed or site-dependent rows require component review. Endometriosis surgery depends on lesion site; the broad prolapse row remains provisional until the anatomy and repair codes are verified. See Data &amp; Targets, columns U–X, for every classification.</x:v>
      </x:c>
      <x:c r="L73" s="2377" t="str">
        <x:v>Mixed or site-dependent rows require component review. Endometriosis surgery depends on lesion site; the broad prolapse row remains provisional until the anatomy and repair codes are verified. See Data &amp; Targets, columns U–X, for every classification.</x:v>
      </x:c>
      <x:c r="M73" s="2377" t="str">
        <x:v>Mixed or site-dependent rows require component review. Endometriosis surgery depends on lesion site; the broad prolapse row remains provisional until the anatomy and repair codes are verified. See Data &amp; Targets, columns U–X, for every classification.</x:v>
      </x:c>
      <x:c r="N73" s="2377" t="str">
        <x:v>Mixed or site-dependent rows require component review. Endometriosis surgery depends on lesion site; the broad prolapse row remains provisional until the anatomy and repair codes are verified. See Data &amp; Targets, columns U–X, for every classification.</x:v>
      </x:c>
      <x:c r="O73" s="2377" t="str">
        <x:v>Mixed or site-dependent rows require component review. Endometriosis surgery depends on lesion site; the broad prolapse row remains provisional until the anatomy and repair codes are verified. See Data &amp; Targets, columns U–X, for every classification.</x:v>
      </x:c>
      <x:c r="P73" s="2377" t="str">
        <x:v>Mixed or site-dependent rows require component review. Endometriosis surgery depends on lesion site; the broad prolapse row remains provisional until the anatomy and repair codes are verified. See Data &amp; Targets, columns U–X, for every classification.</x:v>
      </x:c>
      <x:c r="Q73" s="2377" t="str">
        <x:v>Mixed or site-dependent rows require component review. Endometriosis surgery depends on lesion site; the broad prolapse row remains provisional until the anatomy and repair codes are verified. See Data &amp; Targets, columns U–X, for every classification.</x:v>
      </x:c>
    </x:row>
    <x:row r="74">
      <x:c r="B74" s="2367"/>
      <x:c r="C74" s="2367"/>
      <x:c r="D74" s="2367"/>
      <x:c r="E74" s="2367"/>
      <x:c r="F74" s="2367"/>
      <x:c r="G74" s="2367"/>
      <x:c r="H74" s="2367"/>
      <x:c r="I74" s="2367"/>
      <x:c r="J74" s="2367"/>
      <x:c r="K74" s="2367"/>
      <x:c r="L74" s="2367"/>
      <x:c r="M74" s="2367"/>
      <x:c r="N74" s="2367"/>
      <x:c r="O74" s="2367"/>
      <x:c r="P74" s="2367"/>
      <x:c r="Q74" s="2367"/>
    </x:row>
    <x:row r="75">
      <x:c r="B75" s="2367"/>
      <x:c r="C75" s="2367"/>
      <x:c r="D75" s="2367"/>
      <x:c r="E75" s="2367"/>
      <x:c r="F75" s="2367"/>
      <x:c r="G75" s="2367"/>
      <x:c r="H75" s="2367"/>
      <x:c r="I75" s="2367"/>
      <x:c r="J75" s="2367"/>
      <x:c r="K75" s="2367"/>
      <x:c r="L75" s="2367"/>
      <x:c r="M75" s="2367"/>
      <x:c r="N75" s="2367"/>
      <x:c r="O75" s="2367"/>
      <x:c r="P75" s="2367"/>
      <x:c r="Q75" s="2367"/>
    </x:row>
    <x:row r="77" ht="27" customHeight="1">
      <x:c r="B77" s="2371" t="str">
        <x:v>PATIENT SEX/GENDER AND PHYSICIAN SEX/GENDER</x:v>
      </x:c>
      <x:c r="C77" s="2371" t="str">
        <x:v>PATIENT SEX/GENDER AND PHYSICIAN SEX/GENDER</x:v>
      </x:c>
      <x:c r="D77" s="2371" t="str">
        <x:v>PATIENT SEX/GENDER AND PHYSICIAN SEX/GENDER</x:v>
      </x:c>
      <x:c r="E77" s="2371" t="str">
        <x:v>PATIENT SEX/GENDER AND PHYSICIAN SEX/GENDER</x:v>
      </x:c>
      <x:c r="F77" s="2371" t="str">
        <x:v>PATIENT SEX/GENDER AND PHYSICIAN SEX/GENDER</x:v>
      </x:c>
      <x:c r="G77" s="2371" t="str">
        <x:v>PATIENT SEX/GENDER AND PHYSICIAN SEX/GENDER</x:v>
      </x:c>
      <x:c r="H77" s="2371" t="str">
        <x:v>PATIENT SEX/GENDER AND PHYSICIAN SEX/GENDER</x:v>
      </x:c>
      <x:c r="I77" s="2371" t="str">
        <x:v>PATIENT SEX/GENDER AND PHYSICIAN SEX/GENDER</x:v>
      </x:c>
      <x:c r="J77" s="2371" t="str">
        <x:v>PATIENT SEX/GENDER AND PHYSICIAN SEX/GENDER</x:v>
      </x:c>
      <x:c r="K77" s="2371" t="str">
        <x:v>PATIENT SEX/GENDER AND PHYSICIAN SEX/GENDER</x:v>
      </x:c>
      <x:c r="L77" s="2371" t="str">
        <x:v>PATIENT SEX/GENDER AND PHYSICIAN SEX/GENDER</x:v>
      </x:c>
      <x:c r="M77" s="2371" t="str">
        <x:v>PATIENT SEX/GENDER AND PHYSICIAN SEX/GENDER</x:v>
      </x:c>
      <x:c r="N77" s="2371" t="str">
        <x:v>PATIENT SEX/GENDER AND PHYSICIAN SEX/GENDER</x:v>
      </x:c>
      <x:c r="O77" s="2371" t="str">
        <x:v>PATIENT SEX/GENDER AND PHYSICIAN SEX/GENDER</x:v>
      </x:c>
      <x:c r="P77" s="2371" t="str">
        <x:v>PATIENT SEX/GENDER AND PHYSICIAN SEX/GENDER</x:v>
      </x:c>
      <x:c r="Q77" s="2371" t="str">
        <x:v>PATIENT SEX/GENDER AND PHYSICIAN SEX/GENDER</x:v>
      </x:c>
    </x:row>
    <x:row r="78" ht="18.75" customHeight="1">
      <x:c r="B78" s="2363" t="str">
        <x:v>Selected literature records, classified by the question studied. Counts include clinical and contextual evidence; they are not counts of demonstrated disparities.</x:v>
      </x:c>
      <x:c r="C78" s="2363" t="str">
        <x:v>Selected literature records, classified by the question studied. Counts include clinical and contextual evidence; they are not counts of demonstrated disparities.</x:v>
      </x:c>
      <x:c r="D78" s="2363" t="str">
        <x:v>Selected literature records, classified by the question studied. Counts include clinical and contextual evidence; they are not counts of demonstrated disparities.</x:v>
      </x:c>
      <x:c r="E78" s="2363" t="str">
        <x:v>Selected literature records, classified by the question studied. Counts include clinical and contextual evidence; they are not counts of demonstrated disparities.</x:v>
      </x:c>
      <x:c r="F78" s="2363" t="str">
        <x:v>Selected literature records, classified by the question studied. Counts include clinical and contextual evidence; they are not counts of demonstrated disparities.</x:v>
      </x:c>
      <x:c r="G78" s="2363" t="str">
        <x:v>Selected literature records, classified by the question studied. Counts include clinical and contextual evidence; they are not counts of demonstrated disparities.</x:v>
      </x:c>
      <x:c r="H78" s="2363" t="str">
        <x:v>Selected literature records, classified by the question studied. Counts include clinical and contextual evidence; they are not counts of demonstrated disparities.</x:v>
      </x:c>
      <x:c r="I78" s="2363" t="str">
        <x:v>Selected literature records, classified by the question studied. Counts include clinical and contextual evidence; they are not counts of demonstrated disparities.</x:v>
      </x:c>
      <x:c r="J78" s="2363" t="str">
        <x:v>Selected literature records, classified by the question studied. Counts include clinical and contextual evidence; they are not counts of demonstrated disparities.</x:v>
      </x:c>
      <x:c r="K78" s="2363" t="str">
        <x:v>Selected literature records, classified by the question studied. Counts include clinical and contextual evidence; they are not counts of demonstrated disparities.</x:v>
      </x:c>
      <x:c r="L78" s="2363" t="str">
        <x:v>Selected literature records, classified by the question studied. Counts include clinical and contextual evidence; they are not counts of demonstrated disparities.</x:v>
      </x:c>
      <x:c r="M78" s="2363" t="str">
        <x:v>Selected literature records, classified by the question studied. Counts include clinical and contextual evidence; they are not counts of demonstrated disparities.</x:v>
      </x:c>
      <x:c r="N78" s="2363" t="str">
        <x:v>Selected literature records, classified by the question studied. Counts include clinical and contextual evidence; they are not counts of demonstrated disparities.</x:v>
      </x:c>
      <x:c r="O78" s="2363" t="str">
        <x:v>Selected literature records, classified by the question studied. Counts include clinical and contextual evidence; they are not counts of demonstrated disparities.</x:v>
      </x:c>
      <x:c r="P78" s="2363" t="str">
        <x:v>Selected literature records, classified by the question studied. Counts include clinical and contextual evidence; they are not counts of demonstrated disparities.</x:v>
      </x:c>
      <x:c r="Q78" s="2363" t="str">
        <x:v>Selected literature records, classified by the question studied. Counts include clinical and contextual evidence; they are not counts of demonstrated disparities.</x:v>
      </x:c>
    </x:row>
    <x:row r="79" ht="18.75" customHeight="1">
      <x:c r="B79" s="2363" t="str">
        <x:v>Selected literature records, classified by the question studied. Counts include clinical and contextual evidence; they are not counts of demonstrated disparities.</x:v>
      </x:c>
      <x:c r="C79" s="2363" t="str">
        <x:v>Selected literature records, classified by the question studied. Counts include clinical and contextual evidence; they are not counts of demonstrated disparities.</x:v>
      </x:c>
      <x:c r="D79" s="2363" t="str">
        <x:v>Selected literature records, classified by the question studied. Counts include clinical and contextual evidence; they are not counts of demonstrated disparities.</x:v>
      </x:c>
      <x:c r="E79" s="2363" t="str">
        <x:v>Selected literature records, classified by the question studied. Counts include clinical and contextual evidence; they are not counts of demonstrated disparities.</x:v>
      </x:c>
      <x:c r="F79" s="2363" t="str">
        <x:v>Selected literature records, classified by the question studied. Counts include clinical and contextual evidence; they are not counts of demonstrated disparities.</x:v>
      </x:c>
      <x:c r="G79" s="2363" t="str">
        <x:v>Selected literature records, classified by the question studied. Counts include clinical and contextual evidence; they are not counts of demonstrated disparities.</x:v>
      </x:c>
      <x:c r="H79" s="2363" t="str">
        <x:v>Selected literature records, classified by the question studied. Counts include clinical and contextual evidence; they are not counts of demonstrated disparities.</x:v>
      </x:c>
      <x:c r="I79" s="2363" t="str">
        <x:v>Selected literature records, classified by the question studied. Counts include clinical and contextual evidence; they are not counts of demonstrated disparities.</x:v>
      </x:c>
      <x:c r="J79" s="2363" t="str">
        <x:v>Selected literature records, classified by the question studied. Counts include clinical and contextual evidence; they are not counts of demonstrated disparities.</x:v>
      </x:c>
      <x:c r="K79" s="2363" t="str">
        <x:v>Selected literature records, classified by the question studied. Counts include clinical and contextual evidence; they are not counts of demonstrated disparities.</x:v>
      </x:c>
      <x:c r="L79" s="2363" t="str">
        <x:v>Selected literature records, classified by the question studied. Counts include clinical and contextual evidence; they are not counts of demonstrated disparities.</x:v>
      </x:c>
      <x:c r="M79" s="2363" t="str">
        <x:v>Selected literature records, classified by the question studied. Counts include clinical and contextual evidence; they are not counts of demonstrated disparities.</x:v>
      </x:c>
      <x:c r="N79" s="2363" t="str">
        <x:v>Selected literature records, classified by the question studied. Counts include clinical and contextual evidence; they are not counts of demonstrated disparities.</x:v>
      </x:c>
      <x:c r="O79" s="2363" t="str">
        <x:v>Selected literature records, classified by the question studied. Counts include clinical and contextual evidence; they are not counts of demonstrated disparities.</x:v>
      </x:c>
      <x:c r="P79" s="2363" t="str">
        <x:v>Selected literature records, classified by the question studied. Counts include clinical and contextual evidence; they are not counts of demonstrated disparities.</x:v>
      </x:c>
      <x:c r="Q79" s="2363" t="str">
        <x:v>Selected literature records, classified by the question studied. Counts include clinical and contextual evidence; they are not counts of demonstrated disparities.</x:v>
      </x:c>
    </x:row>
    <x:row r="80" ht="18.75" customHeight="1">
      <x:c r="B80" s="2372" t="str">
        <x:v>Patient care / access</x:v>
      </x:c>
      <x:c r="C80" s="2372" t="str">
        <x:v>Patient care / access</x:v>
      </x:c>
      <x:c r="D80" s="2372" t="str">
        <x:v>Patient care / access</x:v>
      </x:c>
      <x:c r="E80" s="2372" t="str">
        <x:v>Patient care / access</x:v>
      </x:c>
      <x:c r="F80" s="2372" t="str">
        <x:v>Patient care / access</x:v>
      </x:c>
      <x:c r="G80" s="2380" t="n">
        <x:f>'_Chart Helpers'!AE2</x:f>
        <x:v>22</x:v>
      </x:c>
      <x:c r="H80" s="2380" t="str"/>
      <x:c r="I80" s="2381" t="str">
        <x:v>Patient treatment, outcomes, spending or access, including population-specific evidence and qualitative accounts. This group does not imply a male–female comparison.</x:v>
      </x:c>
      <x:c r="J80" s="2381" t="str">
        <x:v>Patient treatment, outcomes, spending or access, including population-specific evidence and qualitative accounts. This group does not imply a male–female comparison.</x:v>
      </x:c>
      <x:c r="K80" s="2381" t="str">
        <x:v>Patient treatment, outcomes, spending or access, including population-specific evidence and qualitative accounts. This group does not imply a male–female comparison.</x:v>
      </x:c>
      <x:c r="L80" s="2381" t="str">
        <x:v>Patient treatment, outcomes, spending or access, including population-specific evidence and qualitative accounts. This group does not imply a male–female comparison.</x:v>
      </x:c>
      <x:c r="M80" s="2381" t="str">
        <x:v>Patient treatment, outcomes, spending or access, including population-specific evidence and qualitative accounts. This group does not imply a male–female comparison.</x:v>
      </x:c>
      <x:c r="N80" s="2381" t="str">
        <x:v>Patient treatment, outcomes, spending or access, including population-specific evidence and qualitative accounts. This group does not imply a male–female comparison.</x:v>
      </x:c>
      <x:c r="O80" s="2381" t="str">
        <x:v>Patient treatment, outcomes, spending or access, including population-specific evidence and qualitative accounts. This group does not imply a male–female comparison.</x:v>
      </x:c>
      <x:c r="P80" s="2381" t="str">
        <x:v>Patient treatment, outcomes, spending or access, including population-specific evidence and qualitative accounts. This group does not imply a male–female comparison.</x:v>
      </x:c>
      <x:c r="Q80" s="2381" t="str">
        <x:v>Patient treatment, outcomes, spending or access, including population-specific evidence and qualitative accounts. This group does not imply a male–female comparison.</x:v>
      </x:c>
    </x:row>
    <x:row r="81" ht="18.75" customHeight="1">
      <x:c r="B81" s="2372" t="str">
        <x:v>Patient care / access</x:v>
      </x:c>
      <x:c r="C81" s="2372" t="str">
        <x:v>Patient care / access</x:v>
      </x:c>
      <x:c r="D81" s="2372" t="str">
        <x:v>Patient care / access</x:v>
      </x:c>
      <x:c r="E81" s="2372" t="str">
        <x:v>Patient care / access</x:v>
      </x:c>
      <x:c r="F81" s="2372" t="str">
        <x:v>Patient care / access</x:v>
      </x:c>
      <x:c r="G81" s="2380" t="str"/>
      <x:c r="H81" s="2380" t="str"/>
      <x:c r="I81" s="2381" t="str">
        <x:v>Patient treatment, outcomes, spending or access, including population-specific evidence and qualitative accounts. This group does not imply a male–female comparison.</x:v>
      </x:c>
      <x:c r="J81" s="2381" t="str">
        <x:v>Patient treatment, outcomes, spending or access, including population-specific evidence and qualitative accounts. This group does not imply a male–female comparison.</x:v>
      </x:c>
      <x:c r="K81" s="2381" t="str">
        <x:v>Patient treatment, outcomes, spending or access, including population-specific evidence and qualitative accounts. This group does not imply a male–female comparison.</x:v>
      </x:c>
      <x:c r="L81" s="2381" t="str">
        <x:v>Patient treatment, outcomes, spending or access, including population-specific evidence and qualitative accounts. This group does not imply a male–female comparison.</x:v>
      </x:c>
      <x:c r="M81" s="2381" t="str">
        <x:v>Patient treatment, outcomes, spending or access, including population-specific evidence and qualitative accounts. This group does not imply a male–female comparison.</x:v>
      </x:c>
      <x:c r="N81" s="2381" t="str">
        <x:v>Patient treatment, outcomes, spending or access, including population-specific evidence and qualitative accounts. This group does not imply a male–female comparison.</x:v>
      </x:c>
      <x:c r="O81" s="2381" t="str">
        <x:v>Patient treatment, outcomes, spending or access, including population-specific evidence and qualitative accounts. This group does not imply a male–female comparison.</x:v>
      </x:c>
      <x:c r="P81" s="2381" t="str">
        <x:v>Patient treatment, outcomes, spending or access, including population-specific evidence and qualitative accounts. This group does not imply a male–female comparison.</x:v>
      </x:c>
      <x:c r="Q81" s="2381" t="str">
        <x:v>Patient treatment, outcomes, spending or access, including population-specific evidence and qualitative accounts. This group does not imply a male–female comparison.</x:v>
      </x:c>
    </x:row>
    <x:row r="82" ht="18.75" customHeight="1">
      <x:c r="B82" s="2370" t="str">
        <x:v>Service / anatomy valuation or coverage</x:v>
      </x:c>
      <x:c r="C82" s="2370" t="str">
        <x:v>Service / anatomy valuation or coverage</x:v>
      </x:c>
      <x:c r="D82" s="2370" t="str">
        <x:v>Service / anatomy valuation or coverage</x:v>
      </x:c>
      <x:c r="E82" s="2370" t="str">
        <x:v>Service / anatomy valuation or coverage</x:v>
      </x:c>
      <x:c r="F82" s="2370" t="str">
        <x:v>Service / anatomy valuation or coverage</x:v>
      </x:c>
      <x:c r="G82" s="2382" t="n">
        <x:f>'_Chart Helpers'!AE3</x:f>
        <x:v>10</x:v>
      </x:c>
      <x:c r="H82" s="2382" t="str"/>
      <x:c r="I82" s="2383" t="str">
        <x:v>Procedure, service or insurer-policy comparisons. Anatomical categories and specialty-level valuation are distinct from measured patient or physician gender.</x:v>
      </x:c>
      <x:c r="J82" s="2383" t="str">
        <x:v>Procedure, service or insurer-policy comparisons. Anatomical categories and specialty-level valuation are distinct from measured patient or physician gender.</x:v>
      </x:c>
      <x:c r="K82" s="2383" t="str">
        <x:v>Procedure, service or insurer-policy comparisons. Anatomical categories and specialty-level valuation are distinct from measured patient or physician gender.</x:v>
      </x:c>
      <x:c r="L82" s="2383" t="str">
        <x:v>Procedure, service or insurer-policy comparisons. Anatomical categories and specialty-level valuation are distinct from measured patient or physician gender.</x:v>
      </x:c>
      <x:c r="M82" s="2383" t="str">
        <x:v>Procedure, service or insurer-policy comparisons. Anatomical categories and specialty-level valuation are distinct from measured patient or physician gender.</x:v>
      </x:c>
      <x:c r="N82" s="2383" t="str">
        <x:v>Procedure, service or insurer-policy comparisons. Anatomical categories and specialty-level valuation are distinct from measured patient or physician gender.</x:v>
      </x:c>
      <x:c r="O82" s="2383" t="str">
        <x:v>Procedure, service or insurer-policy comparisons. Anatomical categories and specialty-level valuation are distinct from measured patient or physician gender.</x:v>
      </x:c>
      <x:c r="P82" s="2383" t="str">
        <x:v>Procedure, service or insurer-policy comparisons. Anatomical categories and specialty-level valuation are distinct from measured patient or physician gender.</x:v>
      </x:c>
      <x:c r="Q82" s="2383" t="str">
        <x:v>Procedure, service or insurer-policy comparisons. Anatomical categories and specialty-level valuation are distinct from measured patient or physician gender.</x:v>
      </x:c>
    </x:row>
    <x:row r="83" ht="18.75" customHeight="1">
      <x:c r="B83" s="2370" t="str">
        <x:v>Service / anatomy valuation or coverage</x:v>
      </x:c>
      <x:c r="C83" s="2370" t="str">
        <x:v>Service / anatomy valuation or coverage</x:v>
      </x:c>
      <x:c r="D83" s="2370" t="str">
        <x:v>Service / anatomy valuation or coverage</x:v>
      </x:c>
      <x:c r="E83" s="2370" t="str">
        <x:v>Service / anatomy valuation or coverage</x:v>
      </x:c>
      <x:c r="F83" s="2370" t="str">
        <x:v>Service / anatomy valuation or coverage</x:v>
      </x:c>
      <x:c r="G83" s="2382" t="str"/>
      <x:c r="H83" s="2382" t="str"/>
      <x:c r="I83" s="2383" t="str">
        <x:v>Procedure, service or insurer-policy comparisons. Anatomical categories and specialty-level valuation are distinct from measured patient or physician gender.</x:v>
      </x:c>
      <x:c r="J83" s="2383" t="str">
        <x:v>Procedure, service or insurer-policy comparisons. Anatomical categories and specialty-level valuation are distinct from measured patient or physician gender.</x:v>
      </x:c>
      <x:c r="K83" s="2383" t="str">
        <x:v>Procedure, service or insurer-policy comparisons. Anatomical categories and specialty-level valuation are distinct from measured patient or physician gender.</x:v>
      </x:c>
      <x:c r="L83" s="2383" t="str">
        <x:v>Procedure, service or insurer-policy comparisons. Anatomical categories and specialty-level valuation are distinct from measured patient or physician gender.</x:v>
      </x:c>
      <x:c r="M83" s="2383" t="str">
        <x:v>Procedure, service or insurer-policy comparisons. Anatomical categories and specialty-level valuation are distinct from measured patient or physician gender.</x:v>
      </x:c>
      <x:c r="N83" s="2383" t="str">
        <x:v>Procedure, service or insurer-policy comparisons. Anatomical categories and specialty-level valuation are distinct from measured patient or physician gender.</x:v>
      </x:c>
      <x:c r="O83" s="2383" t="str">
        <x:v>Procedure, service or insurer-policy comparisons. Anatomical categories and specialty-level valuation are distinct from measured patient or physician gender.</x:v>
      </x:c>
      <x:c r="P83" s="2383" t="str">
        <x:v>Procedure, service or insurer-policy comparisons. Anatomical categories and specialty-level valuation are distinct from measured patient or physician gender.</x:v>
      </x:c>
      <x:c r="Q83" s="2383" t="str">
        <x:v>Procedure, service or insurer-policy comparisons. Anatomical categories and specialty-level valuation are distinct from measured patient or physician gender.</x:v>
      </x:c>
    </x:row>
    <x:row r="84" ht="18.75" customHeight="1">
      <x:c r="B84" s="2372" t="str">
        <x:v>Physician sex / gender</x:v>
      </x:c>
      <x:c r="C84" s="2372" t="str">
        <x:v>Physician sex / gender</x:v>
      </x:c>
      <x:c r="D84" s="2372" t="str">
        <x:v>Physician sex / gender</x:v>
      </x:c>
      <x:c r="E84" s="2372" t="str">
        <x:v>Physician sex / gender</x:v>
      </x:c>
      <x:c r="F84" s="2372" t="str">
        <x:v>Physician sex / gender</x:v>
      </x:c>
      <x:c r="G84" s="2380" t="n">
        <x:f>'_Chart Helpers'!AE4</x:f>
        <x:v>3</x:v>
      </x:c>
      <x:c r="H84" s="2380" t="str"/>
      <x:c r="I84" s="2381" t="str">
        <x:v>Physician sex or gender is the primary comparison in provider payment or service analyses. Results do not directly establish patient-sex disparities.</x:v>
      </x:c>
      <x:c r="J84" s="2381" t="str">
        <x:v>Physician sex or gender is the primary comparison in provider payment or service analyses. Results do not directly establish patient-sex disparities.</x:v>
      </x:c>
      <x:c r="K84" s="2381" t="str">
        <x:v>Physician sex or gender is the primary comparison in provider payment or service analyses. Results do not directly establish patient-sex disparities.</x:v>
      </x:c>
      <x:c r="L84" s="2381" t="str">
        <x:v>Physician sex or gender is the primary comparison in provider payment or service analyses. Results do not directly establish patient-sex disparities.</x:v>
      </x:c>
      <x:c r="M84" s="2381" t="str">
        <x:v>Physician sex or gender is the primary comparison in provider payment or service analyses. Results do not directly establish patient-sex disparities.</x:v>
      </x:c>
      <x:c r="N84" s="2381" t="str">
        <x:v>Physician sex or gender is the primary comparison in provider payment or service analyses. Results do not directly establish patient-sex disparities.</x:v>
      </x:c>
      <x:c r="O84" s="2381" t="str">
        <x:v>Physician sex or gender is the primary comparison in provider payment or service analyses. Results do not directly establish patient-sex disparities.</x:v>
      </x:c>
      <x:c r="P84" s="2381" t="str">
        <x:v>Physician sex or gender is the primary comparison in provider payment or service analyses. Results do not directly establish patient-sex disparities.</x:v>
      </x:c>
      <x:c r="Q84" s="2381" t="str">
        <x:v>Physician sex or gender is the primary comparison in provider payment or service analyses. Results do not directly establish patient-sex disparities.</x:v>
      </x:c>
    </x:row>
    <x:row r="85" ht="18.75" customHeight="1">
      <x:c r="B85" s="2372" t="str">
        <x:v>Physician sex / gender</x:v>
      </x:c>
      <x:c r="C85" s="2372" t="str">
        <x:v>Physician sex / gender</x:v>
      </x:c>
      <x:c r="D85" s="2372" t="str">
        <x:v>Physician sex / gender</x:v>
      </x:c>
      <x:c r="E85" s="2372" t="str">
        <x:v>Physician sex / gender</x:v>
      </x:c>
      <x:c r="F85" s="2372" t="str">
        <x:v>Physician sex / gender</x:v>
      </x:c>
      <x:c r="G85" s="2380" t="str"/>
      <x:c r="H85" s="2380" t="str"/>
      <x:c r="I85" s="2381" t="str">
        <x:v>Physician sex or gender is the primary comparison in provider payment or service analyses. Results do not directly establish patient-sex disparities.</x:v>
      </x:c>
      <x:c r="J85" s="2381" t="str">
        <x:v>Physician sex or gender is the primary comparison in provider payment or service analyses. Results do not directly establish patient-sex disparities.</x:v>
      </x:c>
      <x:c r="K85" s="2381" t="str">
        <x:v>Physician sex or gender is the primary comparison in provider payment or service analyses. Results do not directly establish patient-sex disparities.</x:v>
      </x:c>
      <x:c r="L85" s="2381" t="str">
        <x:v>Physician sex or gender is the primary comparison in provider payment or service analyses. Results do not directly establish patient-sex disparities.</x:v>
      </x:c>
      <x:c r="M85" s="2381" t="str">
        <x:v>Physician sex or gender is the primary comparison in provider payment or service analyses. Results do not directly establish patient-sex disparities.</x:v>
      </x:c>
      <x:c r="N85" s="2381" t="str">
        <x:v>Physician sex or gender is the primary comparison in provider payment or service analyses. Results do not directly establish patient-sex disparities.</x:v>
      </x:c>
      <x:c r="O85" s="2381" t="str">
        <x:v>Physician sex or gender is the primary comparison in provider payment or service analyses. Results do not directly establish patient-sex disparities.</x:v>
      </x:c>
      <x:c r="P85" s="2381" t="str">
        <x:v>Physician sex or gender is the primary comparison in provider payment or service analyses. Results do not directly establish patient-sex disparities.</x:v>
      </x:c>
      <x:c r="Q85" s="2381" t="str">
        <x:v>Physician sex or gender is the primary comparison in provider payment or service analyses. Results do not directly establish patient-sex disparities.</x:v>
      </x:c>
    </x:row>
    <x:row r="86" ht="18.75" customHeight="1">
      <x:c r="B86" s="2370" t="str">
        <x:v>General patient sex / gender background</x:v>
      </x:c>
      <x:c r="C86" s="2370" t="str">
        <x:v>General patient sex / gender background</x:v>
      </x:c>
      <x:c r="D86" s="2370" t="str">
        <x:v>General patient sex / gender background</x:v>
      </x:c>
      <x:c r="E86" s="2370" t="str">
        <x:v>General patient sex / gender background</x:v>
      </x:c>
      <x:c r="F86" s="2370" t="str">
        <x:v>General patient sex / gender background</x:v>
      </x:c>
      <x:c r="G86" s="2382" t="n">
        <x:f>'_Chart Helpers'!AE5</x:f>
        <x:v>3</x:v>
      </x:c>
      <x:c r="H86" s="2382" t="str"/>
      <x:c r="I86" s="2383" t="str">
        <x:v>Clinical reviews or commentary addressing sex-related biology and gender-related social pathways, without an original Medicare reimbursement comparison.</x:v>
      </x:c>
      <x:c r="J86" s="2383" t="str">
        <x:v>Clinical reviews or commentary addressing sex-related biology and gender-related social pathways, without an original Medicare reimbursement comparison.</x:v>
      </x:c>
      <x:c r="K86" s="2383" t="str">
        <x:v>Clinical reviews or commentary addressing sex-related biology and gender-related social pathways, without an original Medicare reimbursement comparison.</x:v>
      </x:c>
      <x:c r="L86" s="2383" t="str">
        <x:v>Clinical reviews or commentary addressing sex-related biology and gender-related social pathways, without an original Medicare reimbursement comparison.</x:v>
      </x:c>
      <x:c r="M86" s="2383" t="str">
        <x:v>Clinical reviews or commentary addressing sex-related biology and gender-related social pathways, without an original Medicare reimbursement comparison.</x:v>
      </x:c>
      <x:c r="N86" s="2383" t="str">
        <x:v>Clinical reviews or commentary addressing sex-related biology and gender-related social pathways, without an original Medicare reimbursement comparison.</x:v>
      </x:c>
      <x:c r="O86" s="2383" t="str">
        <x:v>Clinical reviews or commentary addressing sex-related biology and gender-related social pathways, without an original Medicare reimbursement comparison.</x:v>
      </x:c>
      <x:c r="P86" s="2383" t="str">
        <x:v>Clinical reviews or commentary addressing sex-related biology and gender-related social pathways, without an original Medicare reimbursement comparison.</x:v>
      </x:c>
      <x:c r="Q86" s="2383" t="str">
        <x:v>Clinical reviews or commentary addressing sex-related biology and gender-related social pathways, without an original Medicare reimbursement comparison.</x:v>
      </x:c>
    </x:row>
    <x:row r="87" ht="18.75" customHeight="1">
      <x:c r="B87" s="2370" t="str">
        <x:v>General patient sex / gender background</x:v>
      </x:c>
      <x:c r="C87" s="2370" t="str">
        <x:v>General patient sex / gender background</x:v>
      </x:c>
      <x:c r="D87" s="2370" t="str">
        <x:v>General patient sex / gender background</x:v>
      </x:c>
      <x:c r="E87" s="2370" t="str">
        <x:v>General patient sex / gender background</x:v>
      </x:c>
      <x:c r="F87" s="2370" t="str">
        <x:v>General patient sex / gender background</x:v>
      </x:c>
      <x:c r="G87" s="2382" t="str"/>
      <x:c r="H87" s="2382" t="str"/>
      <x:c r="I87" s="2383" t="str">
        <x:v>Clinical reviews or commentary addressing sex-related biology and gender-related social pathways, without an original Medicare reimbursement comparison.</x:v>
      </x:c>
      <x:c r="J87" s="2383" t="str">
        <x:v>Clinical reviews or commentary addressing sex-related biology and gender-related social pathways, without an original Medicare reimbursement comparison.</x:v>
      </x:c>
      <x:c r="K87" s="2383" t="str">
        <x:v>Clinical reviews or commentary addressing sex-related biology and gender-related social pathways, without an original Medicare reimbursement comparison.</x:v>
      </x:c>
      <x:c r="L87" s="2383" t="str">
        <x:v>Clinical reviews or commentary addressing sex-related biology and gender-related social pathways, without an original Medicare reimbursement comparison.</x:v>
      </x:c>
      <x:c r="M87" s="2383" t="str">
        <x:v>Clinical reviews or commentary addressing sex-related biology and gender-related social pathways, without an original Medicare reimbursement comparison.</x:v>
      </x:c>
      <x:c r="N87" s="2383" t="str">
        <x:v>Clinical reviews or commentary addressing sex-related biology and gender-related social pathways, without an original Medicare reimbursement comparison.</x:v>
      </x:c>
      <x:c r="O87" s="2383" t="str">
        <x:v>Clinical reviews or commentary addressing sex-related biology and gender-related social pathways, without an original Medicare reimbursement comparison.</x:v>
      </x:c>
      <x:c r="P87" s="2383" t="str">
        <x:v>Clinical reviews or commentary addressing sex-related biology and gender-related social pathways, without an original Medicare reimbursement comparison.</x:v>
      </x:c>
      <x:c r="Q87" s="2383" t="str">
        <x:v>Clinical reviews or commentary addressing sex-related biology and gender-related social pathways, without an original Medicare reimbursement comparison.</x:v>
      </x:c>
    </x:row>
    <x:row r="88" ht="18.75" customHeight="1">
      <x:c r="B88" s="2367"/>
      <x:c r="C88" s="2367"/>
      <x:c r="D88" s="2367"/>
      <x:c r="E88" s="2367"/>
      <x:c r="F88" s="2367"/>
      <x:c r="G88" s="2367"/>
      <x:c r="H88" s="2367"/>
      <x:c r="I88" s="2367"/>
      <x:c r="J88" s="2367"/>
      <x:c r="K88" s="2367"/>
      <x:c r="L88" s="2367"/>
      <x:c r="M88" s="2367"/>
      <x:c r="N88" s="2367"/>
      <x:c r="O88" s="2367"/>
      <x:c r="P88" s="2367"/>
      <x:c r="Q88" s="2367"/>
    </x:row>
    <x:row r="89" ht="18.75" customHeight="1">
      <x:c r="B89" s="2377" t="str">
        <x:v>Patient effects: distinguish direct sex comparisons from care within one population, clinical background and perceived barriers. Anatomy-based valuations are a separate comparison.</x:v>
      </x:c>
      <x:c r="C89" s="2377" t="str">
        <x:v>Patient effects: distinguish direct sex comparisons from care within one population, clinical background and perceived barriers. Anatomy-based valuations are a separate comparison.</x:v>
      </x:c>
      <x:c r="D89" s="2377" t="str">
        <x:v>Patient effects: distinguish direct sex comparisons from care within one population, clinical background and perceived barriers. Anatomy-based valuations are a separate comparison.</x:v>
      </x:c>
      <x:c r="E89" s="2377" t="str">
        <x:v>Patient effects: distinguish direct sex comparisons from care within one population, clinical background and perceived barriers. Anatomy-based valuations are a separate comparison.</x:v>
      </x:c>
      <x:c r="F89" s="2377" t="str">
        <x:v>Patient effects: distinguish direct sex comparisons from care within one population, clinical background and perceived barriers. Anatomy-based valuations are a separate comparison.</x:v>
      </x:c>
      <x:c r="G89" s="2377" t="str">
        <x:v>Patient effects: distinguish direct sex comparisons from care within one population, clinical background and perceived barriers. Anatomy-based valuations are a separate comparison.</x:v>
      </x:c>
      <x:c r="H89" s="2377" t="str">
        <x:v>Patient effects: distinguish direct sex comparisons from care within one population, clinical background and perceived barriers. Anatomy-based valuations are a separate comparison.</x:v>
      </x:c>
      <x:c r="I89" s="2377" t="str">
        <x:v>Patient effects: distinguish direct sex comparisons from care within one population, clinical background and perceived barriers. Anatomy-based valuations are a separate comparison.</x:v>
      </x:c>
      <x:c r="J89" s="2377" t="str">
        <x:v>Physician effects: compare payments by physician sex/gender. Annual receipts, per-service payments and salary are distinct. Patient effects cannot be inferred from physician effects.</x:v>
      </x:c>
      <x:c r="K89" s="2377" t="str">
        <x:v>Physician effects: compare payments by physician sex/gender. Annual receipts, per-service payments and salary are distinct. Patient effects cannot be inferred from physician effects.</x:v>
      </x:c>
      <x:c r="L89" s="2377" t="str">
        <x:v>Physician effects: compare payments by physician sex/gender. Annual receipts, per-service payments and salary are distinct. Patient effects cannot be inferred from physician effects.</x:v>
      </x:c>
      <x:c r="M89" s="2377" t="str">
        <x:v>Physician effects: compare payments by physician sex/gender. Annual receipts, per-service payments and salary are distinct. Patient effects cannot be inferred from physician effects.</x:v>
      </x:c>
      <x:c r="N89" s="2377" t="str">
        <x:v>Physician effects: compare payments by physician sex/gender. Annual receipts, per-service payments and salary are distinct. Patient effects cannot be inferred from physician effects.</x:v>
      </x:c>
      <x:c r="O89" s="2377" t="str">
        <x:v>Physician effects: compare payments by physician sex/gender. Annual receipts, per-service payments and salary are distinct. Patient effects cannot be inferred from physician effects.</x:v>
      </x:c>
      <x:c r="P89" s="2377" t="str">
        <x:v>Physician effects: compare payments by physician sex/gender. Annual receipts, per-service payments and salary are distinct. Patient effects cannot be inferred from physician effects.</x:v>
      </x:c>
      <x:c r="Q89" s="2377" t="str">
        <x:v>Physician effects: compare payments by physician sex/gender. Annual receipts, per-service payments and salary are distinct. Patient effects cannot be inferred from physician effects.</x:v>
      </x:c>
    </x:row>
    <x:row r="90" ht="18.75" customHeight="1">
      <x:c r="B90" s="2377" t="str">
        <x:v>Patient effects: distinguish direct sex comparisons from care within one population, clinical background and perceived barriers. Anatomy-based valuations are a separate comparison.</x:v>
      </x:c>
      <x:c r="C90" s="2377" t="str">
        <x:v>Patient effects: distinguish direct sex comparisons from care within one population, clinical background and perceived barriers. Anatomy-based valuations are a separate comparison.</x:v>
      </x:c>
      <x:c r="D90" s="2377" t="str">
        <x:v>Patient effects: distinguish direct sex comparisons from care within one population, clinical background and perceived barriers. Anatomy-based valuations are a separate comparison.</x:v>
      </x:c>
      <x:c r="E90" s="2377" t="str">
        <x:v>Patient effects: distinguish direct sex comparisons from care within one population, clinical background and perceived barriers. Anatomy-based valuations are a separate comparison.</x:v>
      </x:c>
      <x:c r="F90" s="2377" t="str">
        <x:v>Patient effects: distinguish direct sex comparisons from care within one population, clinical background and perceived barriers. Anatomy-based valuations are a separate comparison.</x:v>
      </x:c>
      <x:c r="G90" s="2377" t="str">
        <x:v>Patient effects: distinguish direct sex comparisons from care within one population, clinical background and perceived barriers. Anatomy-based valuations are a separate comparison.</x:v>
      </x:c>
      <x:c r="H90" s="2377" t="str">
        <x:v>Patient effects: distinguish direct sex comparisons from care within one population, clinical background and perceived barriers. Anatomy-based valuations are a separate comparison.</x:v>
      </x:c>
      <x:c r="I90" s="2377" t="str">
        <x:v>Patient effects: distinguish direct sex comparisons from care within one population, clinical background and perceived barriers. Anatomy-based valuations are a separate comparison.</x:v>
      </x:c>
      <x:c r="J90" s="2377" t="str">
        <x:v>Physician effects: compare payments by physician sex/gender. Annual receipts, per-service payments and salary are distinct. Patient effects cannot be inferred from physician effects.</x:v>
      </x:c>
      <x:c r="K90" s="2377" t="str">
        <x:v>Physician effects: compare payments by physician sex/gender. Annual receipts, per-service payments and salary are distinct. Patient effects cannot be inferred from physician effects.</x:v>
      </x:c>
      <x:c r="L90" s="2377" t="str">
        <x:v>Physician effects: compare payments by physician sex/gender. Annual receipts, per-service payments and salary are distinct. Patient effects cannot be inferred from physician effects.</x:v>
      </x:c>
      <x:c r="M90" s="2377" t="str">
        <x:v>Physician effects: compare payments by physician sex/gender. Annual receipts, per-service payments and salary are distinct. Patient effects cannot be inferred from physician effects.</x:v>
      </x:c>
      <x:c r="N90" s="2377" t="str">
        <x:v>Physician effects: compare payments by physician sex/gender. Annual receipts, per-service payments and salary are distinct. Patient effects cannot be inferred from physician effects.</x:v>
      </x:c>
      <x:c r="O90" s="2377" t="str">
        <x:v>Physician effects: compare payments by physician sex/gender. Annual receipts, per-service payments and salary are distinct. Patient effects cannot be inferred from physician effects.</x:v>
      </x:c>
      <x:c r="P90" s="2377" t="str">
        <x:v>Physician effects: compare payments by physician sex/gender. Annual receipts, per-service payments and salary are distinct. Patient effects cannot be inferred from physician effects.</x:v>
      </x:c>
      <x:c r="Q90" s="2377" t="str">
        <x:v>Physician effects: compare payments by physician sex/gender. Annual receipts, per-service payments and salary are distinct. Patient effects cannot be inferred from physician effects.</x:v>
      </x:c>
    </x:row>
    <x:row r="91" ht="18.75" customHeight="1">
      <x:c r="B91" s="2377" t="str">
        <x:v>Patient effects: distinguish direct sex comparisons from care within one population, clinical background and perceived barriers. Anatomy-based valuations are a separate comparison.</x:v>
      </x:c>
      <x:c r="C91" s="2377" t="str">
        <x:v>Patient effects: distinguish direct sex comparisons from care within one population, clinical background and perceived barriers. Anatomy-based valuations are a separate comparison.</x:v>
      </x:c>
      <x:c r="D91" s="2377" t="str">
        <x:v>Patient effects: distinguish direct sex comparisons from care within one population, clinical background and perceived barriers. Anatomy-based valuations are a separate comparison.</x:v>
      </x:c>
      <x:c r="E91" s="2377" t="str">
        <x:v>Patient effects: distinguish direct sex comparisons from care within one population, clinical background and perceived barriers. Anatomy-based valuations are a separate comparison.</x:v>
      </x:c>
      <x:c r="F91" s="2377" t="str">
        <x:v>Patient effects: distinguish direct sex comparisons from care within one population, clinical background and perceived barriers. Anatomy-based valuations are a separate comparison.</x:v>
      </x:c>
      <x:c r="G91" s="2377" t="str">
        <x:v>Patient effects: distinguish direct sex comparisons from care within one population, clinical background and perceived barriers. Anatomy-based valuations are a separate comparison.</x:v>
      </x:c>
      <x:c r="H91" s="2377" t="str">
        <x:v>Patient effects: distinguish direct sex comparisons from care within one population, clinical background and perceived barriers. Anatomy-based valuations are a separate comparison.</x:v>
      </x:c>
      <x:c r="I91" s="2377" t="str">
        <x:v>Patient effects: distinguish direct sex comparisons from care within one population, clinical background and perceived barriers. Anatomy-based valuations are a separate comparison.</x:v>
      </x:c>
      <x:c r="J91" s="2377" t="str">
        <x:v>Physician effects: compare payments by physician sex/gender. Annual receipts, per-service payments and salary are distinct. Patient effects cannot be inferred from physician effects.</x:v>
      </x:c>
      <x:c r="K91" s="2377" t="str">
        <x:v>Physician effects: compare payments by physician sex/gender. Annual receipts, per-service payments and salary are distinct. Patient effects cannot be inferred from physician effects.</x:v>
      </x:c>
      <x:c r="L91" s="2377" t="str">
        <x:v>Physician effects: compare payments by physician sex/gender. Annual receipts, per-service payments and salary are distinct. Patient effects cannot be inferred from physician effects.</x:v>
      </x:c>
      <x:c r="M91" s="2377" t="str">
        <x:v>Physician effects: compare payments by physician sex/gender. Annual receipts, per-service payments and salary are distinct. Patient effects cannot be inferred from physician effects.</x:v>
      </x:c>
      <x:c r="N91" s="2377" t="str">
        <x:v>Physician effects: compare payments by physician sex/gender. Annual receipts, per-service payments and salary are distinct. Patient effects cannot be inferred from physician effects.</x:v>
      </x:c>
      <x:c r="O91" s="2377" t="str">
        <x:v>Physician effects: compare payments by physician sex/gender. Annual receipts, per-service payments and salary are distinct. Patient effects cannot be inferred from physician effects.</x:v>
      </x:c>
      <x:c r="P91" s="2377" t="str">
        <x:v>Physician effects: compare payments by physician sex/gender. Annual receipts, per-service payments and salary are distinct. Patient effects cannot be inferred from physician effects.</x:v>
      </x:c>
      <x:c r="Q91" s="2377" t="str">
        <x:v>Physician effects: compare payments by physician sex/gender. Annual receipts, per-service payments and salary are distinct. Patient effects cannot be inferred from physician effects.</x:v>
      </x:c>
    </x:row>
    <x:row r="92" ht="18.75" customHeight="1">
      <x:c r="B92" s="2377" t="str">
        <x:v>Patient effects: distinguish direct sex comparisons from care within one population, clinical background and perceived barriers. Anatomy-based valuations are a separate comparison.</x:v>
      </x:c>
      <x:c r="C92" s="2377" t="str">
        <x:v>Patient effects: distinguish direct sex comparisons from care within one population, clinical background and perceived barriers. Anatomy-based valuations are a separate comparison.</x:v>
      </x:c>
      <x:c r="D92" s="2377" t="str">
        <x:v>Patient effects: distinguish direct sex comparisons from care within one population, clinical background and perceived barriers. Anatomy-based valuations are a separate comparison.</x:v>
      </x:c>
      <x:c r="E92" s="2377" t="str">
        <x:v>Patient effects: distinguish direct sex comparisons from care within one population, clinical background and perceived barriers. Anatomy-based valuations are a separate comparison.</x:v>
      </x:c>
      <x:c r="F92" s="2377" t="str">
        <x:v>Patient effects: distinguish direct sex comparisons from care within one population, clinical background and perceived barriers. Anatomy-based valuations are a separate comparison.</x:v>
      </x:c>
      <x:c r="G92" s="2377" t="str">
        <x:v>Patient effects: distinguish direct sex comparisons from care within one population, clinical background and perceived barriers. Anatomy-based valuations are a separate comparison.</x:v>
      </x:c>
      <x:c r="H92" s="2377" t="str">
        <x:v>Patient effects: distinguish direct sex comparisons from care within one population, clinical background and perceived barriers. Anatomy-based valuations are a separate comparison.</x:v>
      </x:c>
      <x:c r="I92" s="2377" t="str">
        <x:v>Patient effects: distinguish direct sex comparisons from care within one population, clinical background and perceived barriers. Anatomy-based valuations are a separate comparison.</x:v>
      </x:c>
      <x:c r="J92" s="2377" t="str">
        <x:v>Physician effects: compare payments by physician sex/gender. Annual receipts, per-service payments and salary are distinct. Patient effects cannot be inferred from physician effects.</x:v>
      </x:c>
      <x:c r="K92" s="2377" t="str">
        <x:v>Physician effects: compare payments by physician sex/gender. Annual receipts, per-service payments and salary are distinct. Patient effects cannot be inferred from physician effects.</x:v>
      </x:c>
      <x:c r="L92" s="2377" t="str">
        <x:v>Physician effects: compare payments by physician sex/gender. Annual receipts, per-service payments and salary are distinct. Patient effects cannot be inferred from physician effects.</x:v>
      </x:c>
      <x:c r="M92" s="2377" t="str">
        <x:v>Physician effects: compare payments by physician sex/gender. Annual receipts, per-service payments and salary are distinct. Patient effects cannot be inferred from physician effects.</x:v>
      </x:c>
      <x:c r="N92" s="2377" t="str">
        <x:v>Physician effects: compare payments by physician sex/gender. Annual receipts, per-service payments and salary are distinct. Patient effects cannot be inferred from physician effects.</x:v>
      </x:c>
      <x:c r="O92" s="2377" t="str">
        <x:v>Physician effects: compare payments by physician sex/gender. Annual receipts, per-service payments and salary are distinct. Patient effects cannot be inferred from physician effects.</x:v>
      </x:c>
      <x:c r="P92" s="2377" t="str">
        <x:v>Physician effects: compare payments by physician sex/gender. Annual receipts, per-service payments and salary are distinct. Patient effects cannot be inferred from physician effects.</x:v>
      </x:c>
      <x:c r="Q92" s="2377" t="str">
        <x:v>Physician effects: compare payments by physician sex/gender. Annual receipts, per-service payments and salary are distinct. Patient effects cannot be inferred from physician effects.</x:v>
      </x:c>
    </x:row>
    <x:row r="93" ht="18.75" customHeight="1">
      <x:c r="B93" s="2363" t="str">
        <x:v>If both variables are analyzed, record each main effect and any interaction separately. Literature columns S–X retain the unit, variable roles, comparison and inference boundary.</x:v>
      </x:c>
      <x:c r="C93" s="2363" t="str">
        <x:v>If both variables are analyzed, record each main effect and any interaction separately. Literature columns S–X retain the unit, variable roles, comparison and inference boundary.</x:v>
      </x:c>
      <x:c r="D93" s="2363" t="str">
        <x:v>If both variables are analyzed, record each main effect and any interaction separately. Literature columns S–X retain the unit, variable roles, comparison and inference boundary.</x:v>
      </x:c>
      <x:c r="E93" s="2363" t="str">
        <x:v>If both variables are analyzed, record each main effect and any interaction separately. Literature columns S–X retain the unit, variable roles, comparison and inference boundary.</x:v>
      </x:c>
      <x:c r="F93" s="2363" t="str">
        <x:v>If both variables are analyzed, record each main effect and any interaction separately. Literature columns S–X retain the unit, variable roles, comparison and inference boundary.</x:v>
      </x:c>
      <x:c r="G93" s="2363" t="str">
        <x:v>If both variables are analyzed, record each main effect and any interaction separately. Literature columns S–X retain the unit, variable roles, comparison and inference boundary.</x:v>
      </x:c>
      <x:c r="H93" s="2363" t="str">
        <x:v>If both variables are analyzed, record each main effect and any interaction separately. Literature columns S–X retain the unit, variable roles, comparison and inference boundary.</x:v>
      </x:c>
      <x:c r="I93" s="2363" t="str">
        <x:v>If both variables are analyzed, record each main effect and any interaction separately. Literature columns S–X retain the unit, variable roles, comparison and inference boundary.</x:v>
      </x:c>
      <x:c r="J93" s="2363" t="str">
        <x:v>If both variables are analyzed, record each main effect and any interaction separately. Literature columns S–X retain the unit, variable roles, comparison and inference boundary.</x:v>
      </x:c>
      <x:c r="K93" s="2363" t="str">
        <x:v>If both variables are analyzed, record each main effect and any interaction separately. Literature columns S–X retain the unit, variable roles, comparison and inference boundary.</x:v>
      </x:c>
      <x:c r="L93" s="2363" t="str">
        <x:v>If both variables are analyzed, record each main effect and any interaction separately. Literature columns S–X retain the unit, variable roles, comparison and inference boundary.</x:v>
      </x:c>
      <x:c r="M93" s="2363" t="str">
        <x:v>If both variables are analyzed, record each main effect and any interaction separately. Literature columns S–X retain the unit, variable roles, comparison and inference boundary.</x:v>
      </x:c>
      <x:c r="N93" s="2363" t="str">
        <x:v>If both variables are analyzed, record each main effect and any interaction separately. Literature columns S–X retain the unit, variable roles, comparison and inference boundary.</x:v>
      </x:c>
      <x:c r="O93" s="2363" t="str">
        <x:v>If both variables are analyzed, record each main effect and any interaction separately. Literature columns S–X retain the unit, variable roles, comparison and inference boundary.</x:v>
      </x:c>
      <x:c r="P93" s="2363" t="str">
        <x:v>If both variables are analyzed, record each main effect and any interaction separately. Literature columns S–X retain the unit, variable roles, comparison and inference boundary.</x:v>
      </x:c>
      <x:c r="Q93" s="2363" t="str">
        <x:v>If both variables are analyzed, record each main effect and any interaction separately. Literature columns S–X retain the unit, variable roles, comparison and inference boundary.</x:v>
      </x:c>
    </x:row>
    <x:row r="94" ht="18.75" customHeight="1">
      <x:c r="B94" s="2363" t="str">
        <x:v>If both variables are analyzed, record each main effect and any interaction separately. Literature columns S–X retain the unit, variable roles, comparison and inference boundary.</x:v>
      </x:c>
      <x:c r="C94" s="2363" t="str">
        <x:v>If both variables are analyzed, record each main effect and any interaction separately. Literature columns S–X retain the unit, variable roles, comparison and inference boundary.</x:v>
      </x:c>
      <x:c r="D94" s="2363" t="str">
        <x:v>If both variables are analyzed, record each main effect and any interaction separately. Literature columns S–X retain the unit, variable roles, comparison and inference boundary.</x:v>
      </x:c>
      <x:c r="E94" s="2363" t="str">
        <x:v>If both variables are analyzed, record each main effect and any interaction separately. Literature columns S–X retain the unit, variable roles, comparison and inference boundary.</x:v>
      </x:c>
      <x:c r="F94" s="2363" t="str">
        <x:v>If both variables are analyzed, record each main effect and any interaction separately. Literature columns S–X retain the unit, variable roles, comparison and inference boundary.</x:v>
      </x:c>
      <x:c r="G94" s="2363" t="str">
        <x:v>If both variables are analyzed, record each main effect and any interaction separately. Literature columns S–X retain the unit, variable roles, comparison and inference boundary.</x:v>
      </x:c>
      <x:c r="H94" s="2363" t="str">
        <x:v>If both variables are analyzed, record each main effect and any interaction separately. Literature columns S–X retain the unit, variable roles, comparison and inference boundary.</x:v>
      </x:c>
      <x:c r="I94" s="2363" t="str">
        <x:v>If both variables are analyzed, record each main effect and any interaction separately. Literature columns S–X retain the unit, variable roles, comparison and inference boundary.</x:v>
      </x:c>
      <x:c r="J94" s="2363" t="str">
        <x:v>If both variables are analyzed, record each main effect and any interaction separately. Literature columns S–X retain the unit, variable roles, comparison and inference boundary.</x:v>
      </x:c>
      <x:c r="K94" s="2363" t="str">
        <x:v>If both variables are analyzed, record each main effect and any interaction separately. Literature columns S–X retain the unit, variable roles, comparison and inference boundary.</x:v>
      </x:c>
      <x:c r="L94" s="2363" t="str">
        <x:v>If both variables are analyzed, record each main effect and any interaction separately. Literature columns S–X retain the unit, variable roles, comparison and inference boundary.</x:v>
      </x:c>
      <x:c r="M94" s="2363" t="str">
        <x:v>If both variables are analyzed, record each main effect and any interaction separately. Literature columns S–X retain the unit, variable roles, comparison and inference boundary.</x:v>
      </x:c>
      <x:c r="N94" s="2363" t="str">
        <x:v>If both variables are analyzed, record each main effect and any interaction separately. Literature columns S–X retain the unit, variable roles, comparison and inference boundary.</x:v>
      </x:c>
      <x:c r="O94" s="2363" t="str">
        <x:v>If both variables are analyzed, record each main effect and any interaction separately. Literature columns S–X retain the unit, variable roles, comparison and inference boundary.</x:v>
      </x:c>
      <x:c r="P94" s="2363" t="str">
        <x:v>If both variables are analyzed, record each main effect and any interaction separately. Literature columns S–X retain the unit, variable roles, comparison and inference boundary.</x:v>
      </x:c>
      <x:c r="Q94" s="2363" t="str">
        <x:v>If both variables are analyzed, record each main effect and any interaction separately. Literature columns S–X retain the unit, variable roles, comparison and inference boundary.</x:v>
      </x:c>
    </x:row>
    <x:row r="97" ht="27" customHeight="1">
      <x:c r="B97" s="2371" t="str">
        <x:v>PRELIMINARY PATTERNS AND HYPOTHESES</x:v>
      </x:c>
      <x:c r="C97" s="2371" t="str">
        <x:v>PRELIMINARY PATTERNS AND HYPOTHESES</x:v>
      </x:c>
      <x:c r="D97" s="2371" t="str">
        <x:v>PRELIMINARY PATTERNS AND HYPOTHESES</x:v>
      </x:c>
      <x:c r="E97" s="2371" t="str">
        <x:v>PRELIMINARY PATTERNS AND HYPOTHESES</x:v>
      </x:c>
      <x:c r="F97" s="2371" t="str">
        <x:v>PRELIMINARY PATTERNS AND HYPOTHESES</x:v>
      </x:c>
      <x:c r="G97" s="2371" t="str">
        <x:v>PRELIMINARY PATTERNS AND HYPOTHESES</x:v>
      </x:c>
      <x:c r="H97" s="2371" t="str">
        <x:v>PRELIMINARY PATTERNS AND HYPOTHESES</x:v>
      </x:c>
      <x:c r="I97" s="2371" t="str">
        <x:v>PRELIMINARY PATTERNS AND HYPOTHESES</x:v>
      </x:c>
      <x:c r="J97" s="2371" t="str">
        <x:v>PRELIMINARY PATTERNS AND HYPOTHESES</x:v>
      </x:c>
      <x:c r="K97" s="2371" t="str">
        <x:v>PRELIMINARY PATTERNS AND HYPOTHESES</x:v>
      </x:c>
      <x:c r="L97" s="2371" t="str">
        <x:v>PRELIMINARY PATTERNS AND HYPOTHESES</x:v>
      </x:c>
      <x:c r="M97" s="2371" t="str">
        <x:v>PRELIMINARY PATTERNS AND HYPOTHESES</x:v>
      </x:c>
      <x:c r="N97" s="2371" t="str">
        <x:v>PRELIMINARY PATTERNS AND HYPOTHESES</x:v>
      </x:c>
      <x:c r="O97" s="2371" t="str">
        <x:v>PRELIMINARY PATTERNS AND HYPOTHESES</x:v>
      </x:c>
      <x:c r="P97" s="2371" t="str">
        <x:v>PRELIMINARY PATTERNS AND HYPOTHESES</x:v>
      </x:c>
      <x:c r="Q97" s="2371" t="str">
        <x:v>PRELIMINARY PATTERNS AND HYPOTHESES</x:v>
      </x:c>
    </x:row>
    <x:row r="98" ht="18.75" customHeight="1">
      <x:c r="B98" s="2368" t="str">
        <x:v>Medicare may produce sex-related inequities when benefit rules, service valuation and practical access do not align with clinical need. The direction and mechanism may differ across conditions; a uniform disadvantage to one sex is not established.</x:v>
      </x:c>
      <x:c r="C98" s="2368" t="str">
        <x:v>Medicare may produce sex-related inequities when benefit rules, service valuation and practical access do not align with clinical need. The direction and mechanism may differ across conditions; a uniform disadvantage to one sex is not established.</x:v>
      </x:c>
      <x:c r="D98" s="2368" t="str">
        <x:v>Medicare may produce sex-related inequities when benefit rules, service valuation and practical access do not align with clinical need. The direction and mechanism may differ across conditions; a uniform disadvantage to one sex is not established.</x:v>
      </x:c>
      <x:c r="E98" s="2368" t="str">
        <x:v>Medicare may produce sex-related inequities when benefit rules, service valuation and practical access do not align with clinical need. The direction and mechanism may differ across conditions; a uniform disadvantage to one sex is not established.</x:v>
      </x:c>
      <x:c r="F98" s="2368" t="str">
        <x:v>Medicare may produce sex-related inequities when benefit rules, service valuation and practical access do not align with clinical need. The direction and mechanism may differ across conditions; a uniform disadvantage to one sex is not established.</x:v>
      </x:c>
      <x:c r="G98" s="2368" t="str">
        <x:v>Medicare may produce sex-related inequities when benefit rules, service valuation and practical access do not align with clinical need. The direction and mechanism may differ across conditions; a uniform disadvantage to one sex is not established.</x:v>
      </x:c>
      <x:c r="H98" s="2368" t="str">
        <x:v>Medicare may produce sex-related inequities when benefit rules, service valuation and practical access do not align with clinical need. The direction and mechanism may differ across conditions; a uniform disadvantage to one sex is not established.</x:v>
      </x:c>
      <x:c r="I98" s="2368" t="str">
        <x:v>Medicare may produce sex-related inequities when benefit rules, service valuation and practical access do not align with clinical need. The direction and mechanism may differ across conditions; a uniform disadvantage to one sex is not established.</x:v>
      </x:c>
      <x:c r="J98" s="2368" t="str">
        <x:v>Medicare may produce sex-related inequities when benefit rules, service valuation and practical access do not align with clinical need. The direction and mechanism may differ across conditions; a uniform disadvantage to one sex is not established.</x:v>
      </x:c>
      <x:c r="K98" s="2368" t="str">
        <x:v>Medicare may produce sex-related inequities when benefit rules, service valuation and practical access do not align with clinical need. The direction and mechanism may differ across conditions; a uniform disadvantage to one sex is not established.</x:v>
      </x:c>
      <x:c r="L98" s="2368" t="str">
        <x:v>Medicare may produce sex-related inequities when benefit rules, service valuation and practical access do not align with clinical need. The direction and mechanism may differ across conditions; a uniform disadvantage to one sex is not established.</x:v>
      </x:c>
      <x:c r="M98" s="2368" t="str">
        <x:v>Medicare may produce sex-related inequities when benefit rules, service valuation and practical access do not align with clinical need. The direction and mechanism may differ across conditions; a uniform disadvantage to one sex is not established.</x:v>
      </x:c>
      <x:c r="N98" s="2368" t="str">
        <x:v>Medicare may produce sex-related inequities when benefit rules, service valuation and practical access do not align with clinical need. The direction and mechanism may differ across conditions; a uniform disadvantage to one sex is not established.</x:v>
      </x:c>
      <x:c r="O98" s="2368" t="str">
        <x:v>Medicare may produce sex-related inequities when benefit rules, service valuation and practical access do not align with clinical need. The direction and mechanism may differ across conditions; a uniform disadvantage to one sex is not established.</x:v>
      </x:c>
      <x:c r="P98" s="2368" t="str">
        <x:v>Medicare may produce sex-related inequities when benefit rules, service valuation and practical access do not align with clinical need. The direction and mechanism may differ across conditions; a uniform disadvantage to one sex is not established.</x:v>
      </x:c>
      <x:c r="Q98" s="2368" t="str">
        <x:v>Medicare may produce sex-related inequities when benefit rules, service valuation and practical access do not align with clinical need. The direction and mechanism may differ across conditions; a uniform disadvantage to one sex is not established.</x:v>
      </x:c>
    </x:row>
    <x:row r="99" ht="18.75" customHeight="1">
      <x:c r="B99" s="2368" t="str">
        <x:v>Medicare may produce sex-related inequities when benefit rules, service valuation and practical access do not align with clinical need. The direction and mechanism may differ across conditions; a uniform disadvantage to one sex is not established.</x:v>
      </x:c>
      <x:c r="C99" s="2368" t="str">
        <x:v>Medicare may produce sex-related inequities when benefit rules, service valuation and practical access do not align with clinical need. The direction and mechanism may differ across conditions; a uniform disadvantage to one sex is not established.</x:v>
      </x:c>
      <x:c r="D99" s="2368" t="str">
        <x:v>Medicare may produce sex-related inequities when benefit rules, service valuation and practical access do not align with clinical need. The direction and mechanism may differ across conditions; a uniform disadvantage to one sex is not established.</x:v>
      </x:c>
      <x:c r="E99" s="2368" t="str">
        <x:v>Medicare may produce sex-related inequities when benefit rules, service valuation and practical access do not align with clinical need. The direction and mechanism may differ across conditions; a uniform disadvantage to one sex is not established.</x:v>
      </x:c>
      <x:c r="F99" s="2368" t="str">
        <x:v>Medicare may produce sex-related inequities when benefit rules, service valuation and practical access do not align with clinical need. The direction and mechanism may differ across conditions; a uniform disadvantage to one sex is not established.</x:v>
      </x:c>
      <x:c r="G99" s="2368" t="str">
        <x:v>Medicare may produce sex-related inequities when benefit rules, service valuation and practical access do not align with clinical need. The direction and mechanism may differ across conditions; a uniform disadvantage to one sex is not established.</x:v>
      </x:c>
      <x:c r="H99" s="2368" t="str">
        <x:v>Medicare may produce sex-related inequities when benefit rules, service valuation and practical access do not align with clinical need. The direction and mechanism may differ across conditions; a uniform disadvantage to one sex is not established.</x:v>
      </x:c>
      <x:c r="I99" s="2368" t="str">
        <x:v>Medicare may produce sex-related inequities when benefit rules, service valuation and practical access do not align with clinical need. The direction and mechanism may differ across conditions; a uniform disadvantage to one sex is not established.</x:v>
      </x:c>
      <x:c r="J99" s="2368" t="str">
        <x:v>Medicare may produce sex-related inequities when benefit rules, service valuation and practical access do not align with clinical need. The direction and mechanism may differ across conditions; a uniform disadvantage to one sex is not established.</x:v>
      </x:c>
      <x:c r="K99" s="2368" t="str">
        <x:v>Medicare may produce sex-related inequities when benefit rules, service valuation and practical access do not align with clinical need. The direction and mechanism may differ across conditions; a uniform disadvantage to one sex is not established.</x:v>
      </x:c>
      <x:c r="L99" s="2368" t="str">
        <x:v>Medicare may produce sex-related inequities when benefit rules, service valuation and practical access do not align with clinical need. The direction and mechanism may differ across conditions; a uniform disadvantage to one sex is not established.</x:v>
      </x:c>
      <x:c r="M99" s="2368" t="str">
        <x:v>Medicare may produce sex-related inequities when benefit rules, service valuation and practical access do not align with clinical need. The direction and mechanism may differ across conditions; a uniform disadvantage to one sex is not established.</x:v>
      </x:c>
      <x:c r="N99" s="2368" t="str">
        <x:v>Medicare may produce sex-related inequities when benefit rules, service valuation and practical access do not align with clinical need. The direction and mechanism may differ across conditions; a uniform disadvantage to one sex is not established.</x:v>
      </x:c>
      <x:c r="O99" s="2368" t="str">
        <x:v>Medicare may produce sex-related inequities when benefit rules, service valuation and practical access do not align with clinical need. The direction and mechanism may differ across conditions; a uniform disadvantage to one sex is not established.</x:v>
      </x:c>
      <x:c r="P99" s="2368" t="str">
        <x:v>Medicare may produce sex-related inequities when benefit rules, service valuation and practical access do not align with clinical need. The direction and mechanism may differ across conditions; a uniform disadvantage to one sex is not established.</x:v>
      </x:c>
      <x:c r="Q99" s="2368" t="str">
        <x:v>Medicare may produce sex-related inequities when benefit rules, service valuation and practical access do not align with clinical need. The direction and mechanism may differ across conditions; a uniform disadvantage to one sex is not established.</x:v>
      </x:c>
    </x:row>
    <x:row r="100" ht="18.75" customHeight="1">
      <x:c r="B100" s="2368" t="str">
        <x:v>Medicare may produce sex-related inequities when benefit rules, service valuation and practical access do not align with clinical need. The direction and mechanism may differ across conditions; a uniform disadvantage to one sex is not established.</x:v>
      </x:c>
      <x:c r="C100" s="2368" t="str">
        <x:v>Medicare may produce sex-related inequities when benefit rules, service valuation and practical access do not align with clinical need. The direction and mechanism may differ across conditions; a uniform disadvantage to one sex is not established.</x:v>
      </x:c>
      <x:c r="D100" s="2368" t="str">
        <x:v>Medicare may produce sex-related inequities when benefit rules, service valuation and practical access do not align with clinical need. The direction and mechanism may differ across conditions; a uniform disadvantage to one sex is not established.</x:v>
      </x:c>
      <x:c r="E100" s="2368" t="str">
        <x:v>Medicare may produce sex-related inequities when benefit rules, service valuation and practical access do not align with clinical need. The direction and mechanism may differ across conditions; a uniform disadvantage to one sex is not established.</x:v>
      </x:c>
      <x:c r="F100" s="2368" t="str">
        <x:v>Medicare may produce sex-related inequities when benefit rules, service valuation and practical access do not align with clinical need. The direction and mechanism may differ across conditions; a uniform disadvantage to one sex is not established.</x:v>
      </x:c>
      <x:c r="G100" s="2368" t="str">
        <x:v>Medicare may produce sex-related inequities when benefit rules, service valuation and practical access do not align with clinical need. The direction and mechanism may differ across conditions; a uniform disadvantage to one sex is not established.</x:v>
      </x:c>
      <x:c r="H100" s="2368" t="str">
        <x:v>Medicare may produce sex-related inequities when benefit rules, service valuation and practical access do not align with clinical need. The direction and mechanism may differ across conditions; a uniform disadvantage to one sex is not established.</x:v>
      </x:c>
      <x:c r="I100" s="2368" t="str">
        <x:v>Medicare may produce sex-related inequities when benefit rules, service valuation and practical access do not align with clinical need. The direction and mechanism may differ across conditions; a uniform disadvantage to one sex is not established.</x:v>
      </x:c>
      <x:c r="J100" s="2368" t="str">
        <x:v>Medicare may produce sex-related inequities when benefit rules, service valuation and practical access do not align with clinical need. The direction and mechanism may differ across conditions; a uniform disadvantage to one sex is not established.</x:v>
      </x:c>
      <x:c r="K100" s="2368" t="str">
        <x:v>Medicare may produce sex-related inequities when benefit rules, service valuation and practical access do not align with clinical need. The direction and mechanism may differ across conditions; a uniform disadvantage to one sex is not established.</x:v>
      </x:c>
      <x:c r="L100" s="2368" t="str">
        <x:v>Medicare may produce sex-related inequities when benefit rules, service valuation and practical access do not align with clinical need. The direction and mechanism may differ across conditions; a uniform disadvantage to one sex is not established.</x:v>
      </x:c>
      <x:c r="M100" s="2368" t="str">
        <x:v>Medicare may produce sex-related inequities when benefit rules, service valuation and practical access do not align with clinical need. The direction and mechanism may differ across conditions; a uniform disadvantage to one sex is not established.</x:v>
      </x:c>
      <x:c r="N100" s="2368" t="str">
        <x:v>Medicare may produce sex-related inequities when benefit rules, service valuation and practical access do not align with clinical need. The direction and mechanism may differ across conditions; a uniform disadvantage to one sex is not established.</x:v>
      </x:c>
      <x:c r="O100" s="2368" t="str">
        <x:v>Medicare may produce sex-related inequities when benefit rules, service valuation and practical access do not align with clinical need. The direction and mechanism may differ across conditions; a uniform disadvantage to one sex is not established.</x:v>
      </x:c>
      <x:c r="P100" s="2368" t="str">
        <x:v>Medicare may produce sex-related inequities when benefit rules, service valuation and practical access do not align with clinical need. The direction and mechanism may differ across conditions; a uniform disadvantage to one sex is not established.</x:v>
      </x:c>
      <x:c r="Q100" s="2368" t="str">
        <x:v>Medicare may produce sex-related inequities when benefit rules, service valuation and practical access do not align with clinical need. The direction and mechanism may differ across conditions; a uniform disadvantage to one sex is not established.</x:v>
      </x:c>
    </x:row>
    <x:row r="101" ht="18.75" customHeight="1">
      <x:c r="B101" s="2388" t="str">
        <x:v>Coverage depends on formulation and indication</x:v>
      </x:c>
      <x:c r="C101" s="2388" t="str">
        <x:v>Coverage depends on formulation and indication</x:v>
      </x:c>
      <x:c r="D101" s="2388" t="str">
        <x:v>Coverage depends on formulation and indication</x:v>
      </x:c>
      <x:c r="E101" s="2388" t="str">
        <x:v>Coverage depends on formulation and indication</x:v>
      </x:c>
      <x:c r="F101" s="2388" t="str">
        <x:v>Coverage depends on formulation and indication</x:v>
      </x:c>
      <x:c r="G101" s="2389" t="str">
        <x:v>Drug availability varies by route and indication. Formulary listing does not establish affordability or receipt of suitable care.</x:v>
      </x:c>
      <x:c r="H101" s="2389" t="str">
        <x:v>Drug availability varies by route and indication. Formulary listing does not establish affordability or receipt of suitable care.</x:v>
      </x:c>
      <x:c r="I101" s="2389" t="str">
        <x:v>Drug availability varies by route and indication. Formulary listing does not establish affordability or receipt of suitable care.</x:v>
      </x:c>
      <x:c r="J101" s="2389" t="str">
        <x:v>Drug availability varies by route and indication. Formulary listing does not establish affordability or receipt of suitable care.</x:v>
      </x:c>
      <x:c r="K101" s="2389" t="str">
        <x:v>Drug availability varies by route and indication. Formulary listing does not establish affordability or receipt of suitable care.</x:v>
      </x:c>
      <x:c r="L101" s="2389" t="str">
        <x:v>Drug availability varies by route and indication. Formulary listing does not establish affordability or receipt of suitable care.</x:v>
      </x:c>
      <x:c r="M101" s="2389" t="str">
        <x:v>Drug availability varies by route and indication. Formulary listing does not establish affordability or receipt of suitable care.</x:v>
      </x:c>
      <x:c r="N101" s="2389" t="str">
        <x:v>Drug availability varies by route and indication. Formulary listing does not establish affordability or receipt of suitable care.</x:v>
      </x:c>
      <x:c r="O101" s="2389" t="str">
        <x:v>Drug availability varies by route and indication. Formulary listing does not establish affordability or receipt of suitable care.</x:v>
      </x:c>
      <x:c r="P101" s="2389" t="str">
        <x:v>Drug availability varies by route and indication. Formulary listing does not establish affordability or receipt of suitable care.</x:v>
      </x:c>
      <x:c r="Q101" s="2389" t="str">
        <x:v>Drug availability varies by route and indication. Formulary listing does not establish affordability or receipt of suitable care.</x:v>
      </x:c>
    </x:row>
    <x:row r="102" ht="18.75" customHeight="1">
      <x:c r="B102" s="2388" t="str">
        <x:v>Coverage depends on formulation and indication</x:v>
      </x:c>
      <x:c r="C102" s="2388" t="str">
        <x:v>Coverage depends on formulation and indication</x:v>
      </x:c>
      <x:c r="D102" s="2388" t="str">
        <x:v>Coverage depends on formulation and indication</x:v>
      </x:c>
      <x:c r="E102" s="2388" t="str">
        <x:v>Coverage depends on formulation and indication</x:v>
      </x:c>
      <x:c r="F102" s="2388" t="str">
        <x:v>Coverage depends on formulation and indication</x:v>
      </x:c>
      <x:c r="G102" s="2389" t="str">
        <x:v>Drug availability varies by route and indication. Formulary listing does not establish affordability or receipt of suitable care.</x:v>
      </x:c>
      <x:c r="H102" s="2389" t="str">
        <x:v>Drug availability varies by route and indication. Formulary listing does not establish affordability or receipt of suitable care.</x:v>
      </x:c>
      <x:c r="I102" s="2389" t="str">
        <x:v>Drug availability varies by route and indication. Formulary listing does not establish affordability or receipt of suitable care.</x:v>
      </x:c>
      <x:c r="J102" s="2389" t="str">
        <x:v>Drug availability varies by route and indication. Formulary listing does not establish affordability or receipt of suitable care.</x:v>
      </x:c>
      <x:c r="K102" s="2389" t="str">
        <x:v>Drug availability varies by route and indication. Formulary listing does not establish affordability or receipt of suitable care.</x:v>
      </x:c>
      <x:c r="L102" s="2389" t="str">
        <x:v>Drug availability varies by route and indication. Formulary listing does not establish affordability or receipt of suitable care.</x:v>
      </x:c>
      <x:c r="M102" s="2389" t="str">
        <x:v>Drug availability varies by route and indication. Formulary listing does not establish affordability or receipt of suitable care.</x:v>
      </x:c>
      <x:c r="N102" s="2389" t="str">
        <x:v>Drug availability varies by route and indication. Formulary listing does not establish affordability or receipt of suitable care.</x:v>
      </x:c>
      <x:c r="O102" s="2389" t="str">
        <x:v>Drug availability varies by route and indication. Formulary listing does not establish affordability or receipt of suitable care.</x:v>
      </x:c>
      <x:c r="P102" s="2389" t="str">
        <x:v>Drug availability varies by route and indication. Formulary listing does not establish affordability or receipt of suitable care.</x:v>
      </x:c>
      <x:c r="Q102" s="2389" t="str">
        <x:v>Drug availability varies by route and indication. Formulary listing does not establish affordability or receipt of suitable care.</x:v>
      </x:c>
    </x:row>
    <x:row r="103" ht="18.75" customHeight="1">
      <x:c r="B103" s="2388" t="str">
        <x:v>Coverage depends on formulation and indication</x:v>
      </x:c>
      <x:c r="C103" s="2388" t="str">
        <x:v>Coverage depends on formulation and indication</x:v>
      </x:c>
      <x:c r="D103" s="2388" t="str">
        <x:v>Coverage depends on formulation and indication</x:v>
      </x:c>
      <x:c r="E103" s="2388" t="str">
        <x:v>Coverage depends on formulation and indication</x:v>
      </x:c>
      <x:c r="F103" s="2388" t="str">
        <x:v>Coverage depends on formulation and indication</x:v>
      </x:c>
      <x:c r="G103" s="2389" t="str">
        <x:v>Drug availability varies by route and indication. Formulary listing does not establish affordability or receipt of suitable care.</x:v>
      </x:c>
      <x:c r="H103" s="2389" t="str">
        <x:v>Drug availability varies by route and indication. Formulary listing does not establish affordability or receipt of suitable care.</x:v>
      </x:c>
      <x:c r="I103" s="2389" t="str">
        <x:v>Drug availability varies by route and indication. Formulary listing does not establish affordability or receipt of suitable care.</x:v>
      </x:c>
      <x:c r="J103" s="2389" t="str">
        <x:v>Drug availability varies by route and indication. Formulary listing does not establish affordability or receipt of suitable care.</x:v>
      </x:c>
      <x:c r="K103" s="2389" t="str">
        <x:v>Drug availability varies by route and indication. Formulary listing does not establish affordability or receipt of suitable care.</x:v>
      </x:c>
      <x:c r="L103" s="2389" t="str">
        <x:v>Drug availability varies by route and indication. Formulary listing does not establish affordability or receipt of suitable care.</x:v>
      </x:c>
      <x:c r="M103" s="2389" t="str">
        <x:v>Drug availability varies by route and indication. Formulary listing does not establish affordability or receipt of suitable care.</x:v>
      </x:c>
      <x:c r="N103" s="2389" t="str">
        <x:v>Drug availability varies by route and indication. Formulary listing does not establish affordability or receipt of suitable care.</x:v>
      </x:c>
      <x:c r="O103" s="2389" t="str">
        <x:v>Drug availability varies by route and indication. Formulary listing does not establish affordability or receipt of suitable care.</x:v>
      </x:c>
      <x:c r="P103" s="2389" t="str">
        <x:v>Drug availability varies by route and indication. Formulary listing does not establish affordability or receipt of suitable care.</x:v>
      </x:c>
      <x:c r="Q103" s="2389" t="str">
        <x:v>Drug availability varies by route and indication. Formulary listing does not establish affordability or receipt of suitable care.</x:v>
      </x:c>
    </x:row>
    <x:row r="104" ht="18.75" customHeight="1">
      <x:c r="B104" s="2291" t="str">
        <x:v>Procedure valuation findings are sensitive to clinical matching and the payment measure</x:v>
      </x:c>
      <x:c r="C104" s="2291" t="str">
        <x:v>Procedure valuation findings are sensitive to clinical matching and the payment measure</x:v>
      </x:c>
      <x:c r="D104" s="2291" t="str">
        <x:v>Procedure valuation findings are sensitive to clinical matching and the payment measure</x:v>
      </x:c>
      <x:c r="E104" s="2291" t="str">
        <x:v>Procedure valuation findings are sensitive to clinical matching and the payment measure</x:v>
      </x:c>
      <x:c r="F104" s="2291" t="str">
        <x:v>Procedure valuation findings are sensitive to clinical matching and the payment measure</x:v>
      </x:c>
      <x:c r="G104" s="2377" t="str">
        <x:v>Procedure valuation findings are mixed and depend on matching and the measure used. A uniform female-anatomy penalty is not established.</x:v>
      </x:c>
      <x:c r="H104" s="2377" t="str">
        <x:v>Procedure valuation findings are mixed and depend on matching and the measure used. A uniform female-anatomy penalty is not established.</x:v>
      </x:c>
      <x:c r="I104" s="2377" t="str">
        <x:v>Procedure valuation findings are mixed and depend on matching and the measure used. A uniform female-anatomy penalty is not established.</x:v>
      </x:c>
      <x:c r="J104" s="2377" t="str">
        <x:v>Procedure valuation findings are mixed and depend on matching and the measure used. A uniform female-anatomy penalty is not established.</x:v>
      </x:c>
      <x:c r="K104" s="2377" t="str">
        <x:v>Procedure valuation findings are mixed and depend on matching and the measure used. A uniform female-anatomy penalty is not established.</x:v>
      </x:c>
      <x:c r="L104" s="2377" t="str">
        <x:v>Procedure valuation findings are mixed and depend on matching and the measure used. A uniform female-anatomy penalty is not established.</x:v>
      </x:c>
      <x:c r="M104" s="2377" t="str">
        <x:v>Procedure valuation findings are mixed and depend on matching and the measure used. A uniform female-anatomy penalty is not established.</x:v>
      </x:c>
      <x:c r="N104" s="2377" t="str">
        <x:v>Procedure valuation findings are mixed and depend on matching and the measure used. A uniform female-anatomy penalty is not established.</x:v>
      </x:c>
      <x:c r="O104" s="2377" t="str">
        <x:v>Procedure valuation findings are mixed and depend on matching and the measure used. A uniform female-anatomy penalty is not established.</x:v>
      </x:c>
      <x:c r="P104" s="2377" t="str">
        <x:v>Procedure valuation findings are mixed and depend on matching and the measure used. A uniform female-anatomy penalty is not established.</x:v>
      </x:c>
      <x:c r="Q104" s="2377" t="str">
        <x:v>Procedure valuation findings are mixed and depend on matching and the measure used. A uniform female-anatomy penalty is not established.</x:v>
      </x:c>
    </x:row>
    <x:row r="105" ht="18.75" customHeight="1">
      <x:c r="B105" s="2291" t="str">
        <x:v>Procedure valuation findings are sensitive to clinical matching and the payment measure</x:v>
      </x:c>
      <x:c r="C105" s="2291" t="str">
        <x:v>Procedure valuation findings are sensitive to clinical matching and the payment measure</x:v>
      </x:c>
      <x:c r="D105" s="2291" t="str">
        <x:v>Procedure valuation findings are sensitive to clinical matching and the payment measure</x:v>
      </x:c>
      <x:c r="E105" s="2291" t="str">
        <x:v>Procedure valuation findings are sensitive to clinical matching and the payment measure</x:v>
      </x:c>
      <x:c r="F105" s="2291" t="str">
        <x:v>Procedure valuation findings are sensitive to clinical matching and the payment measure</x:v>
      </x:c>
      <x:c r="G105" s="2377" t="str">
        <x:v>Procedure valuation findings are mixed and depend on matching and the measure used. A uniform female-anatomy penalty is not established.</x:v>
      </x:c>
      <x:c r="H105" s="2377" t="str">
        <x:v>Procedure valuation findings are mixed and depend on matching and the measure used. A uniform female-anatomy penalty is not established.</x:v>
      </x:c>
      <x:c r="I105" s="2377" t="str">
        <x:v>Procedure valuation findings are mixed and depend on matching and the measure used. A uniform female-anatomy penalty is not established.</x:v>
      </x:c>
      <x:c r="J105" s="2377" t="str">
        <x:v>Procedure valuation findings are mixed and depend on matching and the measure used. A uniform female-anatomy penalty is not established.</x:v>
      </x:c>
      <x:c r="K105" s="2377" t="str">
        <x:v>Procedure valuation findings are mixed and depend on matching and the measure used. A uniform female-anatomy penalty is not established.</x:v>
      </x:c>
      <x:c r="L105" s="2377" t="str">
        <x:v>Procedure valuation findings are mixed and depend on matching and the measure used. A uniform female-anatomy penalty is not established.</x:v>
      </x:c>
      <x:c r="M105" s="2377" t="str">
        <x:v>Procedure valuation findings are mixed and depend on matching and the measure used. A uniform female-anatomy penalty is not established.</x:v>
      </x:c>
      <x:c r="N105" s="2377" t="str">
        <x:v>Procedure valuation findings are mixed and depend on matching and the measure used. A uniform female-anatomy penalty is not established.</x:v>
      </x:c>
      <x:c r="O105" s="2377" t="str">
        <x:v>Procedure valuation findings are mixed and depend on matching and the measure used. A uniform female-anatomy penalty is not established.</x:v>
      </x:c>
      <x:c r="P105" s="2377" t="str">
        <x:v>Procedure valuation findings are mixed and depend on matching and the measure used. A uniform female-anatomy penalty is not established.</x:v>
      </x:c>
      <x:c r="Q105" s="2377" t="str">
        <x:v>Procedure valuation findings are mixed and depend on matching and the measure used. A uniform female-anatomy penalty is not established.</x:v>
      </x:c>
    </x:row>
    <x:row r="106" ht="18.75" customHeight="1">
      <x:c r="B106" s="2291" t="str">
        <x:v>Procedure valuation findings are sensitive to clinical matching and the payment measure</x:v>
      </x:c>
      <x:c r="C106" s="2291" t="str">
        <x:v>Procedure valuation findings are sensitive to clinical matching and the payment measure</x:v>
      </x:c>
      <x:c r="D106" s="2291" t="str">
        <x:v>Procedure valuation findings are sensitive to clinical matching and the payment measure</x:v>
      </x:c>
      <x:c r="E106" s="2291" t="str">
        <x:v>Procedure valuation findings are sensitive to clinical matching and the payment measure</x:v>
      </x:c>
      <x:c r="F106" s="2291" t="str">
        <x:v>Procedure valuation findings are sensitive to clinical matching and the payment measure</x:v>
      </x:c>
      <x:c r="G106" s="2377" t="str">
        <x:v>Procedure valuation findings are mixed and depend on matching and the measure used. A uniform female-anatomy penalty is not established.</x:v>
      </x:c>
      <x:c r="H106" s="2377" t="str">
        <x:v>Procedure valuation findings are mixed and depend on matching and the measure used. A uniform female-anatomy penalty is not established.</x:v>
      </x:c>
      <x:c r="I106" s="2377" t="str">
        <x:v>Procedure valuation findings are mixed and depend on matching and the measure used. A uniform female-anatomy penalty is not established.</x:v>
      </x:c>
      <x:c r="J106" s="2377" t="str">
        <x:v>Procedure valuation findings are mixed and depend on matching and the measure used. A uniform female-anatomy penalty is not established.</x:v>
      </x:c>
      <x:c r="K106" s="2377" t="str">
        <x:v>Procedure valuation findings are mixed and depend on matching and the measure used. A uniform female-anatomy penalty is not established.</x:v>
      </x:c>
      <x:c r="L106" s="2377" t="str">
        <x:v>Procedure valuation findings are mixed and depend on matching and the measure used. A uniform female-anatomy penalty is not established.</x:v>
      </x:c>
      <x:c r="M106" s="2377" t="str">
        <x:v>Procedure valuation findings are mixed and depend on matching and the measure used. A uniform female-anatomy penalty is not established.</x:v>
      </x:c>
      <x:c r="N106" s="2377" t="str">
        <x:v>Procedure valuation findings are mixed and depend on matching and the measure used. A uniform female-anatomy penalty is not established.</x:v>
      </x:c>
      <x:c r="O106" s="2377" t="str">
        <x:v>Procedure valuation findings are mixed and depend on matching and the measure used. A uniform female-anatomy penalty is not established.</x:v>
      </x:c>
      <x:c r="P106" s="2377" t="str">
        <x:v>Procedure valuation findings are mixed and depend on matching and the measure used. A uniform female-anatomy penalty is not established.</x:v>
      </x:c>
      <x:c r="Q106" s="2377" t="str">
        <x:v>Procedure valuation findings are mixed and depend on matching and the measure used. A uniform female-anatomy penalty is not established.</x:v>
      </x:c>
    </x:row>
    <x:row r="107" ht="18.75" customHeight="1">
      <x:c r="B107" s="2388" t="str">
        <x:v>Benefit design can matter within a population without a male-female counterpart</x:v>
      </x:c>
      <x:c r="C107" s="2388" t="str">
        <x:v>Benefit design can matter within a population without a male-female counterpart</x:v>
      </x:c>
      <x:c r="D107" s="2388" t="str">
        <x:v>Benefit design can matter within a population without a male-female counterpart</x:v>
      </x:c>
      <x:c r="E107" s="2388" t="str">
        <x:v>Benefit design can matter within a population without a male-female counterpart</x:v>
      </x:c>
      <x:c r="F107" s="2388" t="str">
        <x:v>Benefit design can matter within a population without a male-female counterpart</x:v>
      </x:c>
      <x:c r="G107" s="2389" t="str">
        <x:v>Coverage changes may alter access within a clinically eligible population. Historical findings require policy-year checks.</x:v>
      </x:c>
      <x:c r="H107" s="2389" t="str">
        <x:v>Coverage changes may alter access within a clinically eligible population. Historical findings require policy-year checks.</x:v>
      </x:c>
      <x:c r="I107" s="2389" t="str">
        <x:v>Coverage changes may alter access within a clinically eligible population. Historical findings require policy-year checks.</x:v>
      </x:c>
      <x:c r="J107" s="2389" t="str">
        <x:v>Coverage changes may alter access within a clinically eligible population. Historical findings require policy-year checks.</x:v>
      </x:c>
      <x:c r="K107" s="2389" t="str">
        <x:v>Coverage changes may alter access within a clinically eligible population. Historical findings require policy-year checks.</x:v>
      </x:c>
      <x:c r="L107" s="2389" t="str">
        <x:v>Coverage changes may alter access within a clinically eligible population. Historical findings require policy-year checks.</x:v>
      </x:c>
      <x:c r="M107" s="2389" t="str">
        <x:v>Coverage changes may alter access within a clinically eligible population. Historical findings require policy-year checks.</x:v>
      </x:c>
      <x:c r="N107" s="2389" t="str">
        <x:v>Coverage changes may alter access within a clinically eligible population. Historical findings require policy-year checks.</x:v>
      </x:c>
      <x:c r="O107" s="2389" t="str">
        <x:v>Coverage changes may alter access within a clinically eligible population. Historical findings require policy-year checks.</x:v>
      </x:c>
      <x:c r="P107" s="2389" t="str">
        <x:v>Coverage changes may alter access within a clinically eligible population. Historical findings require policy-year checks.</x:v>
      </x:c>
      <x:c r="Q107" s="2389" t="str">
        <x:v>Coverage changes may alter access within a clinically eligible population. Historical findings require policy-year checks.</x:v>
      </x:c>
    </x:row>
    <x:row r="108" ht="18.75" customHeight="1">
      <x:c r="B108" s="2388" t="str">
        <x:v>Benefit design can matter within a population without a male-female counterpart</x:v>
      </x:c>
      <x:c r="C108" s="2388" t="str">
        <x:v>Benefit design can matter within a population without a male-female counterpart</x:v>
      </x:c>
      <x:c r="D108" s="2388" t="str">
        <x:v>Benefit design can matter within a population without a male-female counterpart</x:v>
      </x:c>
      <x:c r="E108" s="2388" t="str">
        <x:v>Benefit design can matter within a population without a male-female counterpart</x:v>
      </x:c>
      <x:c r="F108" s="2388" t="str">
        <x:v>Benefit design can matter within a population without a male-female counterpart</x:v>
      </x:c>
      <x:c r="G108" s="2389" t="str">
        <x:v>Coverage changes may alter access within a clinically eligible population. Historical findings require policy-year checks.</x:v>
      </x:c>
      <x:c r="H108" s="2389" t="str">
        <x:v>Coverage changes may alter access within a clinically eligible population. Historical findings require policy-year checks.</x:v>
      </x:c>
      <x:c r="I108" s="2389" t="str">
        <x:v>Coverage changes may alter access within a clinically eligible population. Historical findings require policy-year checks.</x:v>
      </x:c>
      <x:c r="J108" s="2389" t="str">
        <x:v>Coverage changes may alter access within a clinically eligible population. Historical findings require policy-year checks.</x:v>
      </x:c>
      <x:c r="K108" s="2389" t="str">
        <x:v>Coverage changes may alter access within a clinically eligible population. Historical findings require policy-year checks.</x:v>
      </x:c>
      <x:c r="L108" s="2389" t="str">
        <x:v>Coverage changes may alter access within a clinically eligible population. Historical findings require policy-year checks.</x:v>
      </x:c>
      <x:c r="M108" s="2389" t="str">
        <x:v>Coverage changes may alter access within a clinically eligible population. Historical findings require policy-year checks.</x:v>
      </x:c>
      <x:c r="N108" s="2389" t="str">
        <x:v>Coverage changes may alter access within a clinically eligible population. Historical findings require policy-year checks.</x:v>
      </x:c>
      <x:c r="O108" s="2389" t="str">
        <x:v>Coverage changes may alter access within a clinically eligible population. Historical findings require policy-year checks.</x:v>
      </x:c>
      <x:c r="P108" s="2389" t="str">
        <x:v>Coverage changes may alter access within a clinically eligible population. Historical findings require policy-year checks.</x:v>
      </x:c>
      <x:c r="Q108" s="2389" t="str">
        <x:v>Coverage changes may alter access within a clinically eligible population. Historical findings require policy-year checks.</x:v>
      </x:c>
    </x:row>
    <x:row r="109" ht="18.75" customHeight="1">
      <x:c r="B109" s="2388" t="str">
        <x:v>Benefit design can matter within a population without a male-female counterpart</x:v>
      </x:c>
      <x:c r="C109" s="2388" t="str">
        <x:v>Benefit design can matter within a population without a male-female counterpart</x:v>
      </x:c>
      <x:c r="D109" s="2388" t="str">
        <x:v>Benefit design can matter within a population without a male-female counterpart</x:v>
      </x:c>
      <x:c r="E109" s="2388" t="str">
        <x:v>Benefit design can matter within a population without a male-female counterpart</x:v>
      </x:c>
      <x:c r="F109" s="2388" t="str">
        <x:v>Benefit design can matter within a population without a male-female counterpart</x:v>
      </x:c>
      <x:c r="G109" s="2389" t="str">
        <x:v>Coverage changes may alter access within a clinically eligible population. Historical findings require policy-year checks.</x:v>
      </x:c>
      <x:c r="H109" s="2389" t="str">
        <x:v>Coverage changes may alter access within a clinically eligible population. Historical findings require policy-year checks.</x:v>
      </x:c>
      <x:c r="I109" s="2389" t="str">
        <x:v>Coverage changes may alter access within a clinically eligible population. Historical findings require policy-year checks.</x:v>
      </x:c>
      <x:c r="J109" s="2389" t="str">
        <x:v>Coverage changes may alter access within a clinically eligible population. Historical findings require policy-year checks.</x:v>
      </x:c>
      <x:c r="K109" s="2389" t="str">
        <x:v>Coverage changes may alter access within a clinically eligible population. Historical findings require policy-year checks.</x:v>
      </x:c>
      <x:c r="L109" s="2389" t="str">
        <x:v>Coverage changes may alter access within a clinically eligible population. Historical findings require policy-year checks.</x:v>
      </x:c>
      <x:c r="M109" s="2389" t="str">
        <x:v>Coverage changes may alter access within a clinically eligible population. Historical findings require policy-year checks.</x:v>
      </x:c>
      <x:c r="N109" s="2389" t="str">
        <x:v>Coverage changes may alter access within a clinically eligible population. Historical findings require policy-year checks.</x:v>
      </x:c>
      <x:c r="O109" s="2389" t="str">
        <x:v>Coverage changes may alter access within a clinically eligible population. Historical findings require policy-year checks.</x:v>
      </x:c>
      <x:c r="P109" s="2389" t="str">
        <x:v>Coverage changes may alter access within a clinically eligible population. Historical findings require policy-year checks.</x:v>
      </x:c>
      <x:c r="Q109" s="2389" t="str">
        <x:v>Coverage changes may alter access within a clinically eligible population. Historical findings require policy-year checks.</x:v>
      </x:c>
    </x:row>
    <x:row r="110" ht="18.75" customHeight="1">
      <x:c r="B110" s="2291" t="str">
        <x:v>Disadvantage can affect men in shared conditions</x:v>
      </x:c>
      <x:c r="C110" s="2291" t="str">
        <x:v>Disadvantage can affect men in shared conditions</x:v>
      </x:c>
      <x:c r="D110" s="2291" t="str">
        <x:v>Disadvantage can affect men in shared conditions</x:v>
      </x:c>
      <x:c r="E110" s="2291" t="str">
        <x:v>Disadvantage can affect men in shared conditions</x:v>
      </x:c>
      <x:c r="F110" s="2291" t="str">
        <x:v>Disadvantage can affect men in shared conditions</x:v>
      </x:c>
      <x:c r="G110" s="2377" t="str">
        <x:v>Men also face possible access gaps. Bone care is a useful shared-condition test with clinical need measured independently.</x:v>
      </x:c>
      <x:c r="H110" s="2377" t="str">
        <x:v>Men also face possible access gaps. Bone care is a useful shared-condition test with clinical need measured independently.</x:v>
      </x:c>
      <x:c r="I110" s="2377" t="str">
        <x:v>Men also face possible access gaps. Bone care is a useful shared-condition test with clinical need measured independently.</x:v>
      </x:c>
      <x:c r="J110" s="2377" t="str">
        <x:v>Men also face possible access gaps. Bone care is a useful shared-condition test with clinical need measured independently.</x:v>
      </x:c>
      <x:c r="K110" s="2377" t="str">
        <x:v>Men also face possible access gaps. Bone care is a useful shared-condition test with clinical need measured independently.</x:v>
      </x:c>
      <x:c r="L110" s="2377" t="str">
        <x:v>Men also face possible access gaps. Bone care is a useful shared-condition test with clinical need measured independently.</x:v>
      </x:c>
      <x:c r="M110" s="2377" t="str">
        <x:v>Men also face possible access gaps. Bone care is a useful shared-condition test with clinical need measured independently.</x:v>
      </x:c>
      <x:c r="N110" s="2377" t="str">
        <x:v>Men also face possible access gaps. Bone care is a useful shared-condition test with clinical need measured independently.</x:v>
      </x:c>
      <x:c r="O110" s="2377" t="str">
        <x:v>Men also face possible access gaps. Bone care is a useful shared-condition test with clinical need measured independently.</x:v>
      </x:c>
      <x:c r="P110" s="2377" t="str">
        <x:v>Men also face possible access gaps. Bone care is a useful shared-condition test with clinical need measured independently.</x:v>
      </x:c>
      <x:c r="Q110" s="2377" t="str">
        <x:v>Men also face possible access gaps. Bone care is a useful shared-condition test with clinical need measured independently.</x:v>
      </x:c>
    </x:row>
    <x:row r="111" ht="18.75" customHeight="1">
      <x:c r="B111" s="2291" t="str">
        <x:v>Disadvantage can affect men in shared conditions</x:v>
      </x:c>
      <x:c r="C111" s="2291" t="str">
        <x:v>Disadvantage can affect men in shared conditions</x:v>
      </x:c>
      <x:c r="D111" s="2291" t="str">
        <x:v>Disadvantage can affect men in shared conditions</x:v>
      </x:c>
      <x:c r="E111" s="2291" t="str">
        <x:v>Disadvantage can affect men in shared conditions</x:v>
      </x:c>
      <x:c r="F111" s="2291" t="str">
        <x:v>Disadvantage can affect men in shared conditions</x:v>
      </x:c>
      <x:c r="G111" s="2377" t="str">
        <x:v>Men also face possible access gaps. Bone care is a useful shared-condition test with clinical need measured independently.</x:v>
      </x:c>
      <x:c r="H111" s="2377" t="str">
        <x:v>Men also face possible access gaps. Bone care is a useful shared-condition test with clinical need measured independently.</x:v>
      </x:c>
      <x:c r="I111" s="2377" t="str">
        <x:v>Men also face possible access gaps. Bone care is a useful shared-condition test with clinical need measured independently.</x:v>
      </x:c>
      <x:c r="J111" s="2377" t="str">
        <x:v>Men also face possible access gaps. Bone care is a useful shared-condition test with clinical need measured independently.</x:v>
      </x:c>
      <x:c r="K111" s="2377" t="str">
        <x:v>Men also face possible access gaps. Bone care is a useful shared-condition test with clinical need measured independently.</x:v>
      </x:c>
      <x:c r="L111" s="2377" t="str">
        <x:v>Men also face possible access gaps. Bone care is a useful shared-condition test with clinical need measured independently.</x:v>
      </x:c>
      <x:c r="M111" s="2377" t="str">
        <x:v>Men also face possible access gaps. Bone care is a useful shared-condition test with clinical need measured independently.</x:v>
      </x:c>
      <x:c r="N111" s="2377" t="str">
        <x:v>Men also face possible access gaps. Bone care is a useful shared-condition test with clinical need measured independently.</x:v>
      </x:c>
      <x:c r="O111" s="2377" t="str">
        <x:v>Men also face possible access gaps. Bone care is a useful shared-condition test with clinical need measured independently.</x:v>
      </x:c>
      <x:c r="P111" s="2377" t="str">
        <x:v>Men also face possible access gaps. Bone care is a useful shared-condition test with clinical need measured independently.</x:v>
      </x:c>
      <x:c r="Q111" s="2377" t="str">
        <x:v>Men also face possible access gaps. Bone care is a useful shared-condition test with clinical need measured independently.</x:v>
      </x:c>
    </x:row>
    <x:row r="112" ht="18.75" customHeight="1">
      <x:c r="B112" s="2291" t="str">
        <x:v>Disadvantage can affect men in shared conditions</x:v>
      </x:c>
      <x:c r="C112" s="2291" t="str">
        <x:v>Disadvantage can affect men in shared conditions</x:v>
      </x:c>
      <x:c r="D112" s="2291" t="str">
        <x:v>Disadvantage can affect men in shared conditions</x:v>
      </x:c>
      <x:c r="E112" s="2291" t="str">
        <x:v>Disadvantage can affect men in shared conditions</x:v>
      </x:c>
      <x:c r="F112" s="2291" t="str">
        <x:v>Disadvantage can affect men in shared conditions</x:v>
      </x:c>
      <x:c r="G112" s="2377" t="str">
        <x:v>Men also face possible access gaps. Bone care is a useful shared-condition test with clinical need measured independently.</x:v>
      </x:c>
      <x:c r="H112" s="2377" t="str">
        <x:v>Men also face possible access gaps. Bone care is a useful shared-condition test with clinical need measured independently.</x:v>
      </x:c>
      <x:c r="I112" s="2377" t="str">
        <x:v>Men also face possible access gaps. Bone care is a useful shared-condition test with clinical need measured independently.</x:v>
      </x:c>
      <x:c r="J112" s="2377" t="str">
        <x:v>Men also face possible access gaps. Bone care is a useful shared-condition test with clinical need measured independently.</x:v>
      </x:c>
      <x:c r="K112" s="2377" t="str">
        <x:v>Men also face possible access gaps. Bone care is a useful shared-condition test with clinical need measured independently.</x:v>
      </x:c>
      <x:c r="L112" s="2377" t="str">
        <x:v>Men also face possible access gaps. Bone care is a useful shared-condition test with clinical need measured independently.</x:v>
      </x:c>
      <x:c r="M112" s="2377" t="str">
        <x:v>Men also face possible access gaps. Bone care is a useful shared-condition test with clinical need measured independently.</x:v>
      </x:c>
      <x:c r="N112" s="2377" t="str">
        <x:v>Men also face possible access gaps. Bone care is a useful shared-condition test with clinical need measured independently.</x:v>
      </x:c>
      <x:c r="O112" s="2377" t="str">
        <x:v>Men also face possible access gaps. Bone care is a useful shared-condition test with clinical need measured independently.</x:v>
      </x:c>
      <x:c r="P112" s="2377" t="str">
        <x:v>Men also face possible access gaps. Bone care is a useful shared-condition test with clinical need measured independently.</x:v>
      </x:c>
      <x:c r="Q112" s="2377" t="str">
        <x:v>Men also face possible access gaps. Bone care is a useful shared-condition test with clinical need measured independently.</x:v>
      </x:c>
    </x:row>
    <x:row r="113" ht="18.75" customHeight="1">
      <x:c r="B113" s="2388" t="str">
        <x:v>Physician annual-payment gaps are not equivalent to per-service rate gaps</x:v>
      </x:c>
      <x:c r="C113" s="2388" t="str">
        <x:v>Physician annual-payment gaps are not equivalent to per-service rate gaps</x:v>
      </x:c>
      <x:c r="D113" s="2388" t="str">
        <x:v>Physician annual-payment gaps are not equivalent to per-service rate gaps</x:v>
      </x:c>
      <x:c r="E113" s="2388" t="str">
        <x:v>Physician annual-payment gaps are not equivalent to per-service rate gaps</x:v>
      </x:c>
      <x:c r="F113" s="2388" t="str">
        <x:v>Physician annual-payment gaps are not equivalent to per-service rate gaps</x:v>
      </x:c>
      <x:c r="G113" s="2389" t="str">
        <x:v>Women physicians have lower annual payments in selected studies, while some per-service comparisons are null. Keep this stream separate.</x:v>
      </x:c>
      <x:c r="H113" s="2389" t="str">
        <x:v>Women physicians have lower annual payments in selected studies, while some per-service comparisons are null. Keep this stream separate.</x:v>
      </x:c>
      <x:c r="I113" s="2389" t="str">
        <x:v>Women physicians have lower annual payments in selected studies, while some per-service comparisons are null. Keep this stream separate.</x:v>
      </x:c>
      <x:c r="J113" s="2389" t="str">
        <x:v>Women physicians have lower annual payments in selected studies, while some per-service comparisons are null. Keep this stream separate.</x:v>
      </x:c>
      <x:c r="K113" s="2389" t="str">
        <x:v>Women physicians have lower annual payments in selected studies, while some per-service comparisons are null. Keep this stream separate.</x:v>
      </x:c>
      <x:c r="L113" s="2389" t="str">
        <x:v>Women physicians have lower annual payments in selected studies, while some per-service comparisons are null. Keep this stream separate.</x:v>
      </x:c>
      <x:c r="M113" s="2389" t="str">
        <x:v>Women physicians have lower annual payments in selected studies, while some per-service comparisons are null. Keep this stream separate.</x:v>
      </x:c>
      <x:c r="N113" s="2389" t="str">
        <x:v>Women physicians have lower annual payments in selected studies, while some per-service comparisons are null. Keep this stream separate.</x:v>
      </x:c>
      <x:c r="O113" s="2389" t="str">
        <x:v>Women physicians have lower annual payments in selected studies, while some per-service comparisons are null. Keep this stream separate.</x:v>
      </x:c>
      <x:c r="P113" s="2389" t="str">
        <x:v>Women physicians have lower annual payments in selected studies, while some per-service comparisons are null. Keep this stream separate.</x:v>
      </x:c>
      <x:c r="Q113" s="2389" t="str">
        <x:v>Women physicians have lower annual payments in selected studies, while some per-service comparisons are null. Keep this stream separate.</x:v>
      </x:c>
    </x:row>
    <x:row r="114" ht="18.75" customHeight="1">
      <x:c r="B114" s="2388" t="str">
        <x:v>Physician annual-payment gaps are not equivalent to per-service rate gaps</x:v>
      </x:c>
      <x:c r="C114" s="2388" t="str">
        <x:v>Physician annual-payment gaps are not equivalent to per-service rate gaps</x:v>
      </x:c>
      <x:c r="D114" s="2388" t="str">
        <x:v>Physician annual-payment gaps are not equivalent to per-service rate gaps</x:v>
      </x:c>
      <x:c r="E114" s="2388" t="str">
        <x:v>Physician annual-payment gaps are not equivalent to per-service rate gaps</x:v>
      </x:c>
      <x:c r="F114" s="2388" t="str">
        <x:v>Physician annual-payment gaps are not equivalent to per-service rate gaps</x:v>
      </x:c>
      <x:c r="G114" s="2389" t="str">
        <x:v>Women physicians have lower annual payments in selected studies, while some per-service comparisons are null. Keep this stream separate.</x:v>
      </x:c>
      <x:c r="H114" s="2389" t="str">
        <x:v>Women physicians have lower annual payments in selected studies, while some per-service comparisons are null. Keep this stream separate.</x:v>
      </x:c>
      <x:c r="I114" s="2389" t="str">
        <x:v>Women physicians have lower annual payments in selected studies, while some per-service comparisons are null. Keep this stream separate.</x:v>
      </x:c>
      <x:c r="J114" s="2389" t="str">
        <x:v>Women physicians have lower annual payments in selected studies, while some per-service comparisons are null. Keep this stream separate.</x:v>
      </x:c>
      <x:c r="K114" s="2389" t="str">
        <x:v>Women physicians have lower annual payments in selected studies, while some per-service comparisons are null. Keep this stream separate.</x:v>
      </x:c>
      <x:c r="L114" s="2389" t="str">
        <x:v>Women physicians have lower annual payments in selected studies, while some per-service comparisons are null. Keep this stream separate.</x:v>
      </x:c>
      <x:c r="M114" s="2389" t="str">
        <x:v>Women physicians have lower annual payments in selected studies, while some per-service comparisons are null. Keep this stream separate.</x:v>
      </x:c>
      <x:c r="N114" s="2389" t="str">
        <x:v>Women physicians have lower annual payments in selected studies, while some per-service comparisons are null. Keep this stream separate.</x:v>
      </x:c>
      <x:c r="O114" s="2389" t="str">
        <x:v>Women physicians have lower annual payments in selected studies, while some per-service comparisons are null. Keep this stream separate.</x:v>
      </x:c>
      <x:c r="P114" s="2389" t="str">
        <x:v>Women physicians have lower annual payments in selected studies, while some per-service comparisons are null. Keep this stream separate.</x:v>
      </x:c>
      <x:c r="Q114" s="2389" t="str">
        <x:v>Women physicians have lower annual payments in selected studies, while some per-service comparisons are null. Keep this stream separate.</x:v>
      </x:c>
    </x:row>
    <x:row r="115" ht="18.75" customHeight="1">
      <x:c r="B115" s="2388" t="str">
        <x:v>Physician annual-payment gaps are not equivalent to per-service rate gaps</x:v>
      </x:c>
      <x:c r="C115" s="2388" t="str">
        <x:v>Physician annual-payment gaps are not equivalent to per-service rate gaps</x:v>
      </x:c>
      <x:c r="D115" s="2388" t="str">
        <x:v>Physician annual-payment gaps are not equivalent to per-service rate gaps</x:v>
      </x:c>
      <x:c r="E115" s="2388" t="str">
        <x:v>Physician annual-payment gaps are not equivalent to per-service rate gaps</x:v>
      </x:c>
      <x:c r="F115" s="2388" t="str">
        <x:v>Physician annual-payment gaps are not equivalent to per-service rate gaps</x:v>
      </x:c>
      <x:c r="G115" s="2389" t="str">
        <x:v>Women physicians have lower annual payments in selected studies, while some per-service comparisons are null. Keep this stream separate.</x:v>
      </x:c>
      <x:c r="H115" s="2389" t="str">
        <x:v>Women physicians have lower annual payments in selected studies, while some per-service comparisons are null. Keep this stream separate.</x:v>
      </x:c>
      <x:c r="I115" s="2389" t="str">
        <x:v>Women physicians have lower annual payments in selected studies, while some per-service comparisons are null. Keep this stream separate.</x:v>
      </x:c>
      <x:c r="J115" s="2389" t="str">
        <x:v>Women physicians have lower annual payments in selected studies, while some per-service comparisons are null. Keep this stream separate.</x:v>
      </x:c>
      <x:c r="K115" s="2389" t="str">
        <x:v>Women physicians have lower annual payments in selected studies, while some per-service comparisons are null. Keep this stream separate.</x:v>
      </x:c>
      <x:c r="L115" s="2389" t="str">
        <x:v>Women physicians have lower annual payments in selected studies, while some per-service comparisons are null. Keep this stream separate.</x:v>
      </x:c>
      <x:c r="M115" s="2389" t="str">
        <x:v>Women physicians have lower annual payments in selected studies, while some per-service comparisons are null. Keep this stream separate.</x:v>
      </x:c>
      <x:c r="N115" s="2389" t="str">
        <x:v>Women physicians have lower annual payments in selected studies, while some per-service comparisons are null. Keep this stream separate.</x:v>
      </x:c>
      <x:c r="O115" s="2389" t="str">
        <x:v>Women physicians have lower annual payments in selected studies, while some per-service comparisons are null. Keep this stream separate.</x:v>
      </x:c>
      <x:c r="P115" s="2389" t="str">
        <x:v>Women physicians have lower annual payments in selected studies, while some per-service comparisons are null. Keep this stream separate.</x:v>
      </x:c>
      <x:c r="Q115" s="2389" t="str">
        <x:v>Women physicians have lower annual payments in selected studies, while some per-service comparisons are null. Keep this stream separate.</x:v>
      </x:c>
    </x:row>
    <x:row r="116" ht="18.75" customHeight="1">
      <x:c r="B116" s="2291" t="str">
        <x:v>Clinical need and practical barriers connect the evidence but remain incompletely measured</x:v>
      </x:c>
      <x:c r="C116" s="2291" t="str">
        <x:v>Clinical need and practical barriers connect the evidence but remain incompletely measured</x:v>
      </x:c>
      <x:c r="D116" s="2291" t="str">
        <x:v>Clinical need and practical barriers connect the evidence but remain incompletely measured</x:v>
      </x:c>
      <x:c r="E116" s="2291" t="str">
        <x:v>Clinical need and practical barriers connect the evidence but remain incompletely measured</x:v>
      </x:c>
      <x:c r="F116" s="2291" t="str">
        <x:v>Clinical need and practical barriers connect the evidence but remain incompletely measured</x:v>
      </x:c>
      <x:c r="G116" s="2377" t="str">
        <x:v>Medication affordability is a measurable access pathway. National and selected-cohort results differ in precision and outcome; identity eligibility remains unresolved.</x:v>
      </x:c>
      <x:c r="H116" s="2377" t="str">
        <x:v>Medication affordability is a measurable access pathway. National and selected-cohort results differ in precision and outcome; identity eligibility remains unresolved.</x:v>
      </x:c>
      <x:c r="I116" s="2377" t="str">
        <x:v>Medication affordability is a measurable access pathway. National and selected-cohort results differ in precision and outcome; identity eligibility remains unresolved.</x:v>
      </x:c>
      <x:c r="J116" s="2377" t="str">
        <x:v>Medication affordability is a measurable access pathway. National and selected-cohort results differ in precision and outcome; identity eligibility remains unresolved.</x:v>
      </x:c>
      <x:c r="K116" s="2377" t="str">
        <x:v>Medication affordability is a measurable access pathway. National and selected-cohort results differ in precision and outcome; identity eligibility remains unresolved.</x:v>
      </x:c>
      <x:c r="L116" s="2377" t="str">
        <x:v>Medication affordability is a measurable access pathway. National and selected-cohort results differ in precision and outcome; identity eligibility remains unresolved.</x:v>
      </x:c>
      <x:c r="M116" s="2377" t="str">
        <x:v>Medication affordability is a measurable access pathway. National and selected-cohort results differ in precision and outcome; identity eligibility remains unresolved.</x:v>
      </x:c>
      <x:c r="N116" s="2377" t="str">
        <x:v>Medication affordability is a measurable access pathway. National and selected-cohort results differ in precision and outcome; identity eligibility remains unresolved.</x:v>
      </x:c>
      <x:c r="O116" s="2377" t="str">
        <x:v>Medication affordability is a measurable access pathway. National and selected-cohort results differ in precision and outcome; identity eligibility remains unresolved.</x:v>
      </x:c>
      <x:c r="P116" s="2377" t="str">
        <x:v>Medication affordability is a measurable access pathway. National and selected-cohort results differ in precision and outcome; identity eligibility remains unresolved.</x:v>
      </x:c>
      <x:c r="Q116" s="2377" t="str">
        <x:v>Medication affordability is a measurable access pathway. National and selected-cohort results differ in precision and outcome; identity eligibility remains unresolved.</x:v>
      </x:c>
    </x:row>
    <x:row r="117" ht="18.75" customHeight="1">
      <x:c r="B117" s="2291" t="str">
        <x:v>Clinical need and practical barriers connect the evidence but remain incompletely measured</x:v>
      </x:c>
      <x:c r="C117" s="2291" t="str">
        <x:v>Clinical need and practical barriers connect the evidence but remain incompletely measured</x:v>
      </x:c>
      <x:c r="D117" s="2291" t="str">
        <x:v>Clinical need and practical barriers connect the evidence but remain incompletely measured</x:v>
      </x:c>
      <x:c r="E117" s="2291" t="str">
        <x:v>Clinical need and practical barriers connect the evidence but remain incompletely measured</x:v>
      </x:c>
      <x:c r="F117" s="2291" t="str">
        <x:v>Clinical need and practical barriers connect the evidence but remain incompletely measured</x:v>
      </x:c>
      <x:c r="G117" s="2377" t="str">
        <x:v>Medication affordability is a measurable access pathway. National and selected-cohort results differ in precision and outcome; identity eligibility remains unresolved.</x:v>
      </x:c>
      <x:c r="H117" s="2377" t="str">
        <x:v>Medication affordability is a measurable access pathway. National and selected-cohort results differ in precision and outcome; identity eligibility remains unresolved.</x:v>
      </x:c>
      <x:c r="I117" s="2377" t="str">
        <x:v>Medication affordability is a measurable access pathway. National and selected-cohort results differ in precision and outcome; identity eligibility remains unresolved.</x:v>
      </x:c>
      <x:c r="J117" s="2377" t="str">
        <x:v>Medication affordability is a measurable access pathway. National and selected-cohort results differ in precision and outcome; identity eligibility remains unresolved.</x:v>
      </x:c>
      <x:c r="K117" s="2377" t="str">
        <x:v>Medication affordability is a measurable access pathway. National and selected-cohort results differ in precision and outcome; identity eligibility remains unresolved.</x:v>
      </x:c>
      <x:c r="L117" s="2377" t="str">
        <x:v>Medication affordability is a measurable access pathway. National and selected-cohort results differ in precision and outcome; identity eligibility remains unresolved.</x:v>
      </x:c>
      <x:c r="M117" s="2377" t="str">
        <x:v>Medication affordability is a measurable access pathway. National and selected-cohort results differ in precision and outcome; identity eligibility remains unresolved.</x:v>
      </x:c>
      <x:c r="N117" s="2377" t="str">
        <x:v>Medication affordability is a measurable access pathway. National and selected-cohort results differ in precision and outcome; identity eligibility remains unresolved.</x:v>
      </x:c>
      <x:c r="O117" s="2377" t="str">
        <x:v>Medication affordability is a measurable access pathway. National and selected-cohort results differ in precision and outcome; identity eligibility remains unresolved.</x:v>
      </x:c>
      <x:c r="P117" s="2377" t="str">
        <x:v>Medication affordability is a measurable access pathway. National and selected-cohort results differ in precision and outcome; identity eligibility remains unresolved.</x:v>
      </x:c>
      <x:c r="Q117" s="2377" t="str">
        <x:v>Medication affordability is a measurable access pathway. National and selected-cohort results differ in precision and outcome; identity eligibility remains unresolved.</x:v>
      </x:c>
    </x:row>
    <x:row r="118" ht="18.75" customHeight="1">
      <x:c r="B118" s="2291" t="str">
        <x:v>Clinical need and practical barriers connect the evidence but remain incompletely measured</x:v>
      </x:c>
      <x:c r="C118" s="2291" t="str">
        <x:v>Clinical need and practical barriers connect the evidence but remain incompletely measured</x:v>
      </x:c>
      <x:c r="D118" s="2291" t="str">
        <x:v>Clinical need and practical barriers connect the evidence but remain incompletely measured</x:v>
      </x:c>
      <x:c r="E118" s="2291" t="str">
        <x:v>Clinical need and practical barriers connect the evidence but remain incompletely measured</x:v>
      </x:c>
      <x:c r="F118" s="2291" t="str">
        <x:v>Clinical need and practical barriers connect the evidence but remain incompletely measured</x:v>
      </x:c>
      <x:c r="G118" s="2377" t="str">
        <x:v>Medication affordability is a measurable access pathway. National and selected-cohort results differ in precision and outcome; identity eligibility remains unresolved.</x:v>
      </x:c>
      <x:c r="H118" s="2377" t="str">
        <x:v>Medication affordability is a measurable access pathway. National and selected-cohort results differ in precision and outcome; identity eligibility remains unresolved.</x:v>
      </x:c>
      <x:c r="I118" s="2377" t="str">
        <x:v>Medication affordability is a measurable access pathway. National and selected-cohort results differ in precision and outcome; identity eligibility remains unresolved.</x:v>
      </x:c>
      <x:c r="J118" s="2377" t="str">
        <x:v>Medication affordability is a measurable access pathway. National and selected-cohort results differ in precision and outcome; identity eligibility remains unresolved.</x:v>
      </x:c>
      <x:c r="K118" s="2377" t="str">
        <x:v>Medication affordability is a measurable access pathway. National and selected-cohort results differ in precision and outcome; identity eligibility remains unresolved.</x:v>
      </x:c>
      <x:c r="L118" s="2377" t="str">
        <x:v>Medication affordability is a measurable access pathway. National and selected-cohort results differ in precision and outcome; identity eligibility remains unresolved.</x:v>
      </x:c>
      <x:c r="M118" s="2377" t="str">
        <x:v>Medication affordability is a measurable access pathway. National and selected-cohort results differ in precision and outcome; identity eligibility remains unresolved.</x:v>
      </x:c>
      <x:c r="N118" s="2377" t="str">
        <x:v>Medication affordability is a measurable access pathway. National and selected-cohort results differ in precision and outcome; identity eligibility remains unresolved.</x:v>
      </x:c>
      <x:c r="O118" s="2377" t="str">
        <x:v>Medication affordability is a measurable access pathway. National and selected-cohort results differ in precision and outcome; identity eligibility remains unresolved.</x:v>
      </x:c>
      <x:c r="P118" s="2377" t="str">
        <x:v>Medication affordability is a measurable access pathway. National and selected-cohort results differ in precision and outcome; identity eligibility remains unresolved.</x:v>
      </x:c>
      <x:c r="Q118" s="2377" t="str">
        <x:v>Medication affordability is a measurable access pathway. National and selected-cohort results differ in precision and outcome; identity eligibility remains unresolved.</x:v>
      </x:c>
    </x:row>
    <x:row r="119" ht="18.75" customHeight="1">
      <x:c r="B119" s="2367"/>
      <x:c r="C119" s="2367"/>
      <x:c r="D119" s="2367"/>
      <x:c r="E119" s="2367"/>
      <x:c r="F119" s="2367"/>
      <x:c r="G119" s="2367"/>
      <x:c r="H119" s="2367"/>
      <x:c r="I119" s="2367"/>
      <x:c r="J119" s="2367"/>
      <x:c r="K119" s="2367"/>
      <x:c r="L119" s="2367"/>
      <x:c r="M119" s="2367"/>
      <x:c r="N119" s="2367"/>
      <x:c r="O119" s="2367"/>
      <x:c r="P119" s="2367"/>
      <x:c r="Q119" s="2367"/>
    </x:row>
    <x:row r="120" ht="18.75" customHeight="1">
      <x:c r="B120" s="2377" t="str">
        <x:v>Next: audit clinically suitable formulations within plans and expand the full procedure-pair comparison. These are descriptive steps before patient-level causal tests.</x:v>
      </x:c>
      <x:c r="C120" s="2377" t="str">
        <x:v>Next: audit clinically suitable formulations within plans and expand the full procedure-pair comparison. These are descriptive steps before patient-level causal tests.</x:v>
      </x:c>
      <x:c r="D120" s="2377" t="str">
        <x:v>Next: audit clinically suitable formulations within plans and expand the full procedure-pair comparison. These are descriptive steps before patient-level causal tests.</x:v>
      </x:c>
      <x:c r="E120" s="2377" t="str">
        <x:v>Next: audit clinically suitable formulations within plans and expand the full procedure-pair comparison. These are descriptive steps before patient-level causal tests.</x:v>
      </x:c>
      <x:c r="F120" s="2377" t="str">
        <x:v>Next: audit clinically suitable formulations within plans and expand the full procedure-pair comparison. These are descriptive steps before patient-level causal tests.</x:v>
      </x:c>
      <x:c r="G120" s="2377" t="str">
        <x:v>Next: audit clinically suitable formulations within plans and expand the full procedure-pair comparison. These are descriptive steps before patient-level causal tests.</x:v>
      </x:c>
      <x:c r="H120" s="2377" t="str">
        <x:v>Next: audit clinically suitable formulations within plans and expand the full procedure-pair comparison. These are descriptive steps before patient-level causal tests.</x:v>
      </x:c>
      <x:c r="I120" s="2377" t="str">
        <x:v>Next: audit clinically suitable formulations within plans and expand the full procedure-pair comparison. These are descriptive steps before patient-level causal tests.</x:v>
      </x:c>
      <x:c r="J120" s="2377" t="str">
        <x:v>9 hypotheses are detailed on the Hypotheses tab, with PMIDs, alternative explanations and findings that would weaken each claim. None is a confirmed causal result.</x:v>
      </x:c>
      <x:c r="K120" s="2377" t="str">
        <x:v>9 hypotheses are detailed on the Hypotheses tab, with PMIDs, alternative explanations and findings that would weaken each claim. None is a confirmed causal result.</x:v>
      </x:c>
      <x:c r="L120" s="2377" t="str">
        <x:v>9 hypotheses are detailed on the Hypotheses tab, with PMIDs, alternative explanations and findings that would weaken each claim. None is a confirmed causal result.</x:v>
      </x:c>
      <x:c r="M120" s="2377" t="str">
        <x:v>9 hypotheses are detailed on the Hypotheses tab, with PMIDs, alternative explanations and findings that would weaken each claim. None is a confirmed causal result.</x:v>
      </x:c>
      <x:c r="N120" s="2377" t="str">
        <x:v>9 hypotheses are detailed on the Hypotheses tab, with PMIDs, alternative explanations and findings that would weaken each claim. None is a confirmed causal result.</x:v>
      </x:c>
      <x:c r="O120" s="2377" t="str">
        <x:v>9 hypotheses are detailed on the Hypotheses tab, with PMIDs, alternative explanations and findings that would weaken each claim. None is a confirmed causal result.</x:v>
      </x:c>
      <x:c r="P120" s="2377" t="str">
        <x:v>9 hypotheses are detailed on the Hypotheses tab, with PMIDs, alternative explanations and findings that would weaken each claim. None is a confirmed causal result.</x:v>
      </x:c>
      <x:c r="Q120" s="2377" t="str">
        <x:v>9 hypotheses are detailed on the Hypotheses tab, with PMIDs, alternative explanations and findings that would weaken each claim. None is a confirmed causal result.</x:v>
      </x:c>
    </x:row>
    <x:row r="121" ht="18.75" customHeight="1">
      <x:c r="B121" s="2377" t="str">
        <x:v>Next: audit clinically suitable formulations within plans and expand the full procedure-pair comparison. These are descriptive steps before patient-level causal tests.</x:v>
      </x:c>
      <x:c r="C121" s="2377" t="str">
        <x:v>Next: audit clinically suitable formulations within plans and expand the full procedure-pair comparison. These are descriptive steps before patient-level causal tests.</x:v>
      </x:c>
      <x:c r="D121" s="2377" t="str">
        <x:v>Next: audit clinically suitable formulations within plans and expand the full procedure-pair comparison. These are descriptive steps before patient-level causal tests.</x:v>
      </x:c>
      <x:c r="E121" s="2377" t="str">
        <x:v>Next: audit clinically suitable formulations within plans and expand the full procedure-pair comparison. These are descriptive steps before patient-level causal tests.</x:v>
      </x:c>
      <x:c r="F121" s="2377" t="str">
        <x:v>Next: audit clinically suitable formulations within plans and expand the full procedure-pair comparison. These are descriptive steps before patient-level causal tests.</x:v>
      </x:c>
      <x:c r="G121" s="2377" t="str">
        <x:v>Next: audit clinically suitable formulations within plans and expand the full procedure-pair comparison. These are descriptive steps before patient-level causal tests.</x:v>
      </x:c>
      <x:c r="H121" s="2377" t="str">
        <x:v>Next: audit clinically suitable formulations within plans and expand the full procedure-pair comparison. These are descriptive steps before patient-level causal tests.</x:v>
      </x:c>
      <x:c r="I121" s="2377" t="str">
        <x:v>Next: audit clinically suitable formulations within plans and expand the full procedure-pair comparison. These are descriptive steps before patient-level causal tests.</x:v>
      </x:c>
      <x:c r="J121" s="2377" t="str">
        <x:v>9 hypotheses are detailed on the Hypotheses tab, with PMIDs, alternative explanations and findings that would weaken each claim. None is a confirmed causal result.</x:v>
      </x:c>
      <x:c r="K121" s="2377" t="str">
        <x:v>9 hypotheses are detailed on the Hypotheses tab, with PMIDs, alternative explanations and findings that would weaken each claim. None is a confirmed causal result.</x:v>
      </x:c>
      <x:c r="L121" s="2377" t="str">
        <x:v>9 hypotheses are detailed on the Hypotheses tab, with PMIDs, alternative explanations and findings that would weaken each claim. None is a confirmed causal result.</x:v>
      </x:c>
      <x:c r="M121" s="2377" t="str">
        <x:v>9 hypotheses are detailed on the Hypotheses tab, with PMIDs, alternative explanations and findings that would weaken each claim. None is a confirmed causal result.</x:v>
      </x:c>
      <x:c r="N121" s="2377" t="str">
        <x:v>9 hypotheses are detailed on the Hypotheses tab, with PMIDs, alternative explanations and findings that would weaken each claim. None is a confirmed causal result.</x:v>
      </x:c>
      <x:c r="O121" s="2377" t="str">
        <x:v>9 hypotheses are detailed on the Hypotheses tab, with PMIDs, alternative explanations and findings that would weaken each claim. None is a confirmed causal result.</x:v>
      </x:c>
      <x:c r="P121" s="2377" t="str">
        <x:v>9 hypotheses are detailed on the Hypotheses tab, with PMIDs, alternative explanations and findings that would weaken each claim. None is a confirmed causal result.</x:v>
      </x:c>
      <x:c r="Q121" s="2377" t="str">
        <x:v>9 hypotheses are detailed on the Hypotheses tab, with PMIDs, alternative explanations and findings that would weaken each claim. None is a confirmed causal result.</x:v>
      </x:c>
    </x:row>
    <x:row r="122" ht="18.75" customHeight="1">
      <x:c r="B122" s="2377" t="str">
        <x:v>Next: audit clinically suitable formulations within plans and expand the full procedure-pair comparison. These are descriptive steps before patient-level causal tests.</x:v>
      </x:c>
      <x:c r="C122" s="2377" t="str">
        <x:v>Next: audit clinically suitable formulations within plans and expand the full procedure-pair comparison. These are descriptive steps before patient-level causal tests.</x:v>
      </x:c>
      <x:c r="D122" s="2377" t="str">
        <x:v>Next: audit clinically suitable formulations within plans and expand the full procedure-pair comparison. These are descriptive steps before patient-level causal tests.</x:v>
      </x:c>
      <x:c r="E122" s="2377" t="str">
        <x:v>Next: audit clinically suitable formulations within plans and expand the full procedure-pair comparison. These are descriptive steps before patient-level causal tests.</x:v>
      </x:c>
      <x:c r="F122" s="2377" t="str">
        <x:v>Next: audit clinically suitable formulations within plans and expand the full procedure-pair comparison. These are descriptive steps before patient-level causal tests.</x:v>
      </x:c>
      <x:c r="G122" s="2377" t="str">
        <x:v>Next: audit clinically suitable formulations within plans and expand the full procedure-pair comparison. These are descriptive steps before patient-level causal tests.</x:v>
      </x:c>
      <x:c r="H122" s="2377" t="str">
        <x:v>Next: audit clinically suitable formulations within plans and expand the full procedure-pair comparison. These are descriptive steps before patient-level causal tests.</x:v>
      </x:c>
      <x:c r="I122" s="2377" t="str">
        <x:v>Next: audit clinically suitable formulations within plans and expand the full procedure-pair comparison. These are descriptive steps before patient-level causal tests.</x:v>
      </x:c>
      <x:c r="J122" s="2377" t="str">
        <x:v>9 hypotheses are detailed on the Hypotheses tab, with PMIDs, alternative explanations and findings that would weaken each claim. None is a confirmed causal result.</x:v>
      </x:c>
      <x:c r="K122" s="2377" t="str">
        <x:v>9 hypotheses are detailed on the Hypotheses tab, with PMIDs, alternative explanations and findings that would weaken each claim. None is a confirmed causal result.</x:v>
      </x:c>
      <x:c r="L122" s="2377" t="str">
        <x:v>9 hypotheses are detailed on the Hypotheses tab, with PMIDs, alternative explanations and findings that would weaken each claim. None is a confirmed causal result.</x:v>
      </x:c>
      <x:c r="M122" s="2377" t="str">
        <x:v>9 hypotheses are detailed on the Hypotheses tab, with PMIDs, alternative explanations and findings that would weaken each claim. None is a confirmed causal result.</x:v>
      </x:c>
      <x:c r="N122" s="2377" t="str">
        <x:v>9 hypotheses are detailed on the Hypotheses tab, with PMIDs, alternative explanations and findings that would weaken each claim. None is a confirmed causal result.</x:v>
      </x:c>
      <x:c r="O122" s="2377" t="str">
        <x:v>9 hypotheses are detailed on the Hypotheses tab, with PMIDs, alternative explanations and findings that would weaken each claim. None is a confirmed causal result.</x:v>
      </x:c>
      <x:c r="P122" s="2377" t="str">
        <x:v>9 hypotheses are detailed on the Hypotheses tab, with PMIDs, alternative explanations and findings that would weaken each claim. None is a confirmed causal result.</x:v>
      </x:c>
      <x:c r="Q122" s="2377" t="str">
        <x:v>9 hypotheses are detailed on the Hypotheses tab, with PMIDs, alternative explanations and findings that would weaken each claim. None is a confirmed causal result.</x:v>
      </x:c>
    </x:row>
    <x:row r="123" ht="18.75" customHeight="1">
      <x:c r="B123" s="2377" t="str">
        <x:v>Next: audit clinically suitable formulations within plans and expand the full procedure-pair comparison. These are descriptive steps before patient-level causal tests.</x:v>
      </x:c>
      <x:c r="C123" s="2377" t="str">
        <x:v>Next: audit clinically suitable formulations within plans and expand the full procedure-pair comparison. These are descriptive steps before patient-level causal tests.</x:v>
      </x:c>
      <x:c r="D123" s="2377" t="str">
        <x:v>Next: audit clinically suitable formulations within plans and expand the full procedure-pair comparison. These are descriptive steps before patient-level causal tests.</x:v>
      </x:c>
      <x:c r="E123" s="2377" t="str">
        <x:v>Next: audit clinically suitable formulations within plans and expand the full procedure-pair comparison. These are descriptive steps before patient-level causal tests.</x:v>
      </x:c>
      <x:c r="F123" s="2377" t="str">
        <x:v>Next: audit clinically suitable formulations within plans and expand the full procedure-pair comparison. These are descriptive steps before patient-level causal tests.</x:v>
      </x:c>
      <x:c r="G123" s="2377" t="str">
        <x:v>Next: audit clinically suitable formulations within plans and expand the full procedure-pair comparison. These are descriptive steps before patient-level causal tests.</x:v>
      </x:c>
      <x:c r="H123" s="2377" t="str">
        <x:v>Next: audit clinically suitable formulations within plans and expand the full procedure-pair comparison. These are descriptive steps before patient-level causal tests.</x:v>
      </x:c>
      <x:c r="I123" s="2377" t="str">
        <x:v>Next: audit clinically suitable formulations within plans and expand the full procedure-pair comparison. These are descriptive steps before patient-level causal tests.</x:v>
      </x:c>
      <x:c r="J123" s="2377" t="str">
        <x:v>9 hypotheses are detailed on the Hypotheses tab, with PMIDs, alternative explanations and findings that would weaken each claim. None is a confirmed causal result.</x:v>
      </x:c>
      <x:c r="K123" s="2377" t="str">
        <x:v>9 hypotheses are detailed on the Hypotheses tab, with PMIDs, alternative explanations and findings that would weaken each claim. None is a confirmed causal result.</x:v>
      </x:c>
      <x:c r="L123" s="2377" t="str">
        <x:v>9 hypotheses are detailed on the Hypotheses tab, with PMIDs, alternative explanations and findings that would weaken each claim. None is a confirmed causal result.</x:v>
      </x:c>
      <x:c r="M123" s="2377" t="str">
        <x:v>9 hypotheses are detailed on the Hypotheses tab, with PMIDs, alternative explanations and findings that would weaken each claim. None is a confirmed causal result.</x:v>
      </x:c>
      <x:c r="N123" s="2377" t="str">
        <x:v>9 hypotheses are detailed on the Hypotheses tab, with PMIDs, alternative explanations and findings that would weaken each claim. None is a confirmed causal result.</x:v>
      </x:c>
      <x:c r="O123" s="2377" t="str">
        <x:v>9 hypotheses are detailed on the Hypotheses tab, with PMIDs, alternative explanations and findings that would weaken each claim. None is a confirmed causal result.</x:v>
      </x:c>
      <x:c r="P123" s="2377" t="str">
        <x:v>9 hypotheses are detailed on the Hypotheses tab, with PMIDs, alternative explanations and findings that would weaken each claim. None is a confirmed causal result.</x:v>
      </x:c>
      <x:c r="Q123" s="2377" t="str">
        <x:v>9 hypotheses are detailed on the Hypotheses tab, with PMIDs, alternative explanations and findings that would weaken each claim. None is a confirmed causal result.</x:v>
      </x:c>
    </x:row>
    <x:row r="124" ht="18.75" customHeight="1">
      <x:c r="B124" s="2367"/>
      <x:c r="C124" s="2367"/>
      <x:c r="D124" s="2367"/>
      <x:c r="E124" s="2367"/>
      <x:c r="F124" s="2367"/>
      <x:c r="G124" s="2367"/>
      <x:c r="H124" s="2367"/>
      <x:c r="I124" s="2367"/>
      <x:c r="J124" s="2367"/>
      <x:c r="K124" s="2367"/>
      <x:c r="L124" s="2367"/>
      <x:c r="M124" s="2367"/>
      <x:c r="N124" s="2367"/>
      <x:c r="O124" s="2367"/>
      <x:c r="P124" s="2367"/>
      <x:c r="Q124" s="2367"/>
    </x:row>
  </x:sheetData>
  <x:mergeCells>
    <x:mergeCell ref="J11:M12"/>
    <x:mergeCell ref="N5:Q5"/>
    <x:mergeCell ref="N6:Q7"/>
    <x:mergeCell ref="B43:Q43"/>
    <x:mergeCell ref="N10:Q10"/>
    <x:mergeCell ref="N11:Q12"/>
    <x:mergeCell ref="B15:I15"/>
    <x:mergeCell ref="J15:Q15"/>
    <x:mergeCell ref="B29:I29"/>
    <x:mergeCell ref="J29:Q29"/>
    <x:mergeCell ref="B10:E10"/>
    <x:mergeCell ref="B11:E12"/>
    <x:mergeCell ref="F10:I10"/>
    <x:mergeCell ref="F11:I12"/>
    <x:mergeCell ref="J10:M10"/>
    <x:mergeCell ref="B5:E5"/>
    <x:mergeCell ref="B6:E7"/>
    <x:mergeCell ref="F5:I5"/>
    <x:mergeCell ref="F6:I7"/>
    <x:mergeCell ref="J5:M5"/>
    <x:mergeCell ref="J6:M7"/>
    <x:mergeCell ref="J2:M2"/>
    <x:mergeCell ref="J3:M3"/>
    <x:mergeCell ref="N2:Q2"/>
    <x:mergeCell ref="N3:Q3"/>
    <x:mergeCell ref="B4:Q4"/>
    <x:mergeCell ref="B2:I2"/>
    <x:mergeCell ref="B8:E8"/>
    <x:mergeCell ref="F8:I8"/>
    <x:mergeCell ref="J8:M8"/>
    <x:mergeCell ref="N8:Q8"/>
    <x:mergeCell ref="B13:E13"/>
    <x:mergeCell ref="F13:I13"/>
    <x:mergeCell ref="J13:M13"/>
    <x:mergeCell ref="N13:Q13"/>
    <x:mergeCell ref="B45:C46"/>
    <x:mergeCell ref="D45:I46"/>
    <x:mergeCell ref="B47:C48"/>
    <x:mergeCell ref="D47:I48"/>
    <x:mergeCell ref="B49:C50"/>
    <x:mergeCell ref="D49:I50"/>
    <x:mergeCell ref="B51:C52"/>
    <x:mergeCell ref="D51:I52"/>
    <x:mergeCell ref="J45:Q49"/>
    <x:mergeCell ref="J51:Q52"/>
    <x:mergeCell ref="B54:Q54"/>
    <x:mergeCell ref="B55:Q56"/>
    <x:mergeCell ref="B57:F57"/>
    <x:mergeCell ref="G57:H57"/>
    <x:mergeCell ref="I57:J57"/>
    <x:mergeCell ref="K57:L57"/>
    <x:mergeCell ref="M57:N57"/>
    <x:mergeCell ref="O57:P57"/>
    <x:mergeCell ref="B58:F58"/>
    <x:mergeCell ref="G58:H58"/>
    <x:mergeCell ref="I58:J58"/>
    <x:mergeCell ref="K58:L58"/>
    <x:mergeCell ref="M58:N58"/>
    <x:mergeCell ref="O58:P58"/>
    <x:mergeCell ref="B59:F59"/>
    <x:mergeCell ref="G59:H59"/>
    <x:mergeCell ref="I59:J59"/>
    <x:mergeCell ref="K59:L59"/>
    <x:mergeCell ref="M59:N59"/>
    <x:mergeCell ref="O59:P59"/>
    <x:mergeCell ref="B60:F60"/>
    <x:mergeCell ref="G60:H60"/>
    <x:mergeCell ref="I60:J60"/>
    <x:mergeCell ref="K60:L60"/>
    <x:mergeCell ref="M60:N60"/>
    <x:mergeCell ref="O60:P60"/>
    <x:mergeCell ref="B61:F61"/>
    <x:mergeCell ref="G61:H61"/>
    <x:mergeCell ref="I61:J61"/>
    <x:mergeCell ref="K61:L61"/>
    <x:mergeCell ref="M61:N61"/>
    <x:mergeCell ref="O61:P61"/>
    <x:mergeCell ref="B62:F62"/>
    <x:mergeCell ref="G62:H62"/>
    <x:mergeCell ref="I62:J62"/>
    <x:mergeCell ref="K62:L62"/>
    <x:mergeCell ref="M62:N62"/>
    <x:mergeCell ref="O62:P62"/>
    <x:mergeCell ref="B63:F63"/>
    <x:mergeCell ref="G63:H63"/>
    <x:mergeCell ref="I63:J63"/>
    <x:mergeCell ref="K63:L63"/>
    <x:mergeCell ref="M63:N63"/>
    <x:mergeCell ref="O63:P63"/>
    <x:mergeCell ref="B64:F64"/>
    <x:mergeCell ref="G64:H64"/>
    <x:mergeCell ref="I64:J64"/>
    <x:mergeCell ref="K64:L64"/>
    <x:mergeCell ref="M64:N64"/>
    <x:mergeCell ref="O64:P64"/>
    <x:mergeCell ref="B66:I69"/>
    <x:mergeCell ref="J66:Q69"/>
    <x:mergeCell ref="B71:Q73"/>
    <x:mergeCell ref="B77:Q77"/>
    <x:mergeCell ref="B78:Q79"/>
    <x:mergeCell ref="B80:F81"/>
    <x:mergeCell ref="G80:H81"/>
    <x:mergeCell ref="I80:Q81"/>
    <x:mergeCell ref="B82:F83"/>
    <x:mergeCell ref="G82:H83"/>
    <x:mergeCell ref="I82:Q83"/>
    <x:mergeCell ref="B84:F85"/>
    <x:mergeCell ref="G84:H85"/>
    <x:mergeCell ref="I84:Q85"/>
    <x:mergeCell ref="B86:F87"/>
    <x:mergeCell ref="G86:H87"/>
    <x:mergeCell ref="I86:Q87"/>
    <x:mergeCell ref="B89:I92"/>
    <x:mergeCell ref="J89:Q92"/>
    <x:mergeCell ref="B93:Q94"/>
    <x:mergeCell ref="B97:Q97"/>
    <x:mergeCell ref="B98:Q100"/>
    <x:mergeCell ref="B101:F103"/>
    <x:mergeCell ref="G101:Q103"/>
    <x:mergeCell ref="B104:F106"/>
    <x:mergeCell ref="G104:Q106"/>
    <x:mergeCell ref="B107:F109"/>
    <x:mergeCell ref="G107:Q109"/>
    <x:mergeCell ref="B110:F112"/>
    <x:mergeCell ref="G110:Q112"/>
    <x:mergeCell ref="B113:F115"/>
    <x:mergeCell ref="G113:Q115"/>
    <x:mergeCell ref="B116:F118"/>
    <x:mergeCell ref="G116:Q118"/>
    <x:mergeCell ref="B120:I123"/>
    <x:mergeCell ref="J120:Q123"/>
  </x:mergeCells>
  <x:conditionalFormatting sqref="H45:H52">
    <x:cfRule type="containsText" dxfId="2" priority="1" operator="containsText" text="Favorable"/>
    <x:cfRule type="containsText" dxfId="1" priority="2" operator="containsText" text="Watch"/>
    <x:cfRule type="containsText" dxfId="0" priority="3" operator="containsText" text="Unfavorable"/>
  </x:conditionalFormatting>
  <x:pageMargins left="0.7" right="0.7" top="0.75" bottom="0.75" header="0.3" footer="0.3"/>
  <x:drawing xmlns:r="http://schemas.openxmlformats.org/officeDocument/2006/relationships" r:id="R3bf08819d19a4a55"/>
</x:worksheet>
</file>

<file path=xl/worksheets/sheet2.xml><?xml version="1.0" encoding="utf-8"?>
<x:worksheet xmlns:x="http://schemas.openxmlformats.org/spreadsheetml/2006/main">
  <x:sheetPr>
    <x:tabColor rgb="FF00A3B5"/>
  </x:sheetPr>
  <x:sheetViews>
    <x:sheetView showGridLines="0" workbookViewId="0">
      <x:pane xSplit="3" ySplit="8" topLeftCell="D9" activePane="bottomRight" state="frozen"/>
    </x:sheetView>
  </x:sheetViews>
  <x:sheetFormatPr baseColWidth="10" defaultColWidth="8.83203125" defaultRowHeight="14"/>
  <x:cols>
    <x:col min="1" max="1" width="8" style="27" hidden="0" customWidth="1"/>
    <x:col min="2" max="4" width="15" style="27" customWidth="1"/>
    <x:col min="5" max="5" width="28.329999923706055" style="27" hidden="0" customWidth="1"/>
    <x:col min="6" max="6" width="27.219999313354492" style="27" hidden="0" customWidth="1"/>
    <x:col min="7" max="8" width="15" style="27" customWidth="1"/>
    <x:col min="9" max="9" width="42.220001220703125" style="27" hidden="0" customWidth="1"/>
    <x:col min="10" max="10" width="36.11000061035156" style="27" hidden="0" customWidth="1"/>
    <x:col min="11" max="11" width="43.88999938964844" style="27" hidden="0" customWidth="1"/>
    <x:col min="12" max="15" width="16" style="27" customWidth="1"/>
    <x:col min="16" max="16" width="12.220000267028809" style="27" hidden="0" customWidth="1"/>
    <x:col min="17" max="16384" width="8.83203125" style="27" customWidth="0"/>
    <x:col min="2" max="2" width="30" hidden="0" customWidth="1"/>
    <x:col min="3" max="3" width="21.110000610351562" hidden="0" customWidth="1"/>
    <x:col min="4" max="4" width="14.4399995803833" hidden="0" customWidth="1"/>
    <x:col min="7" max="7" width="21.110000610351562" hidden="0" customWidth="1"/>
    <x:col min="8" max="8" width="37.779998779296875" hidden="0" customWidth="1"/>
    <x:col min="12" max="12" width="33.33000183105469" hidden="0" customWidth="1"/>
    <x:col min="13" max="13" width="42.220001220703125" hidden="0" customWidth="1"/>
    <x:col min="14" max="14" width="38.88999938964844" hidden="0" customWidth="1"/>
    <x:col min="15" max="15" width="18.329999923706055" hidden="0" customWidth="1"/>
    <x:col min="17" max="17" width="2.6700000762939453" hidden="0" customWidth="1"/>
    <x:col min="18" max="18" width="35.560001373291016" hidden="0" customWidth="1"/>
    <x:col min="19" max="19" width="35.560001373291016" hidden="0" customWidth="1"/>
    <x:col min="20" max="20" width="36.66999816894531" hidden="0" customWidth="1"/>
    <x:col min="21" max="21" width="26.110000610351562" hidden="0" customWidth="1"/>
    <x:col min="22" max="22" width="35.560001373291016" hidden="0" customWidth="1"/>
    <x:col min="23" max="23" width="40" hidden="0" customWidth="1"/>
    <x:col min="24" max="24" width="44.439998626708984" hidden="0" customWidth="1"/>
  </x:cols>
  <x:sheetData>
    <x:row r="1">
      <x:c r="A1" s="217" t="str">
        <x:v>Care inventory</x:v>
      </x:c>
      <x:c r="B1" s="217" t="str">
        <x:v>Care inventory</x:v>
      </x:c>
      <x:c r="C1" s="217" t="str">
        <x:v>Care inventory</x:v>
      </x:c>
      <x:c r="D1" s="217" t="str">
        <x:v>Care inventory</x:v>
      </x:c>
      <x:c r="E1" s="217" t="str">
        <x:v>Care inventory</x:v>
      </x:c>
      <x:c r="F1" s="217" t="str">
        <x:v>Care inventory</x:v>
      </x:c>
      <x:c r="G1" s="214"/>
      <x:c r="H1" s="214"/>
      <x:c r="I1" s="214"/>
      <x:c r="J1" s="214"/>
      <x:c r="K1" s="214"/>
      <x:c r="L1" s="214"/>
      <x:c r="M1" s="214"/>
      <x:c r="N1" s="214"/>
      <x:c r="O1" s="214"/>
      <x:c r="P1" s="214"/>
      <x:c r="Q1" s="214"/>
      <x:c r="R1" s="214"/>
      <x:c r="S1" s="214"/>
      <x:c r="T1" s="214"/>
    </x:row>
    <x:row r="2" ht="26" customHeight="1">
      <x:c r="A2" s="217" t="str">
        <x:v>Care inventory</x:v>
      </x:c>
      <x:c r="B2" s="217" t="str">
        <x:v>Care inventory</x:v>
      </x:c>
      <x:c r="C2" s="217" t="str">
        <x:v>Care inventory</x:v>
      </x:c>
      <x:c r="D2" s="217" t="str">
        <x:v>Care inventory</x:v>
      </x:c>
      <x:c r="E2" s="217" t="str">
        <x:v>Care inventory</x:v>
      </x:c>
      <x:c r="F2" s="217" t="str">
        <x:v>Care inventory</x:v>
      </x:c>
      <x:c r="G2" s="214"/>
      <x:c r="H2" s="214" t="str">
        <x:v>Review date</x:v>
      </x:c>
      <x:c r="I2" s="221" t="n">
        <x:v>46281.5</x:v>
      </x:c>
      <x:c r="J2" s="214"/>
      <x:c r="K2" s="214"/>
      <x:c r="L2" s="214"/>
      <x:c r="M2" s="214"/>
      <x:c r="N2" s="214"/>
      <x:c r="O2" s="214"/>
      <x:c r="P2" s="214"/>
      <x:c r="Q2" s="214"/>
      <x:c r="R2" s="214"/>
      <x:c r="S2" s="214"/>
      <x:c r="T2" s="214"/>
    </x:row>
    <x:row r="3" ht="26" customHeight="1">
      <x:c r="A3" s="2309" t="str">
        <x:v>Current scope: care for cisgender men and women. Transgender-focused evidence and gender-affirming care are excluded from synthesis. See Exclusions and Literature for the population-screening rules.</x:v>
      </x:c>
      <x:c r="B3" s="2309" t="str">
        <x:v>Current scope: care for cisgender men and women. Transgender-focused evidence and gender-affirming care are excluded from synthesis. See Exclusions and Literature for the population-screening rules.</x:v>
      </x:c>
      <x:c r="C3" s="2309" t="str">
        <x:v>Current scope: care for cisgender men and women. Transgender-focused evidence and gender-affirming care are excluded from synthesis. See Exclusions and Literature for the population-screening rules.</x:v>
      </x:c>
      <x:c r="D3" s="2309" t="str">
        <x:v>Current scope: care for cisgender men and women. Transgender-focused evidence and gender-affirming care are excluded from synthesis. See Exclusions and Literature for the population-screening rules.</x:v>
      </x:c>
      <x:c r="E3" s="2309" t="str">
        <x:v>Current scope: care for cisgender men and women. Transgender-focused evidence and gender-affirming care are excluded from synthesis. See Exclusions and Literature for the population-screening rules.</x:v>
      </x:c>
      <x:c r="F3" s="2309" t="str">
        <x:v>Current scope: care for cisgender men and women. Transgender-focused evidence and gender-affirming care are excluded from synthesis. See Exclusions and Literature for the population-screening rules.</x:v>
      </x:c>
      <x:c r="G3" s="214"/>
      <x:c r="H3" s="214"/>
      <x:c r="I3" s="214"/>
      <x:c r="J3" s="214"/>
      <x:c r="K3" s="214"/>
      <x:c r="L3" s="214"/>
      <x:c r="M3" s="214"/>
      <x:c r="N3" s="214"/>
      <x:c r="O3" s="214"/>
      <x:c r="P3" s="214"/>
      <x:c r="Q3" s="214"/>
      <x:c r="R3" s="214"/>
      <x:c r="S3" s="214"/>
      <x:c r="T3" s="214"/>
      <x:c r="U3" s="2309" t="str">
        <x:v>Classify the item and indication: shared systems, reproductive anatomy, reproductive physiology, or mixed/site-dependent care. Sex-defined eligibility is recorded separately.</x:v>
      </x:c>
      <x:c r="V3" s="2309" t="str">
        <x:v>Classify the item and indication: shared systems, reproductive anatomy, reproductive physiology, or mixed/site-dependent care. Sex-defined eligibility is recorded separately.</x:v>
      </x:c>
      <x:c r="W3" s="2309" t="str">
        <x:v>Classify the item and indication: shared systems, reproductive anatomy, reproductive physiology, or mixed/site-dependent care. Sex-defined eligibility is recorded separately.</x:v>
      </x:c>
      <x:c r="X3" s="2309" t="str">
        <x:v>Classify the item and indication: shared systems, reproductive anatomy, reproductive physiology, or mixed/site-dependent care. Sex-defined eligibility is recorded separately.</x:v>
      </x:c>
    </x:row>
    <x:row r="4">
      <x:c r="A4" s="2309" t="str">
        <x:v>Current scope: care for cisgender men and women. Transgender-focused evidence and gender-affirming care are excluded from synthesis. See Exclusions and Literature for the population-screening rules.</x:v>
      </x:c>
      <x:c r="B4" s="2309" t="str">
        <x:v>Current scope: care for cisgender men and women. Transgender-focused evidence and gender-affirming care are excluded from synthesis. See Exclusions and Literature for the population-screening rules.</x:v>
      </x:c>
      <x:c r="C4" s="2309" t="str">
        <x:v>Current scope: care for cisgender men and women. Transgender-focused evidence and gender-affirming care are excluded from synthesis. See Exclusions and Literature for the population-screening rules.</x:v>
      </x:c>
      <x:c r="D4" s="2309" t="str">
        <x:v>Current scope: care for cisgender men and women. Transgender-focused evidence and gender-affirming care are excluded from synthesis. See Exclusions and Literature for the population-screening rules.</x:v>
      </x:c>
      <x:c r="E4" s="2309" t="str">
        <x:v>Current scope: care for cisgender men and women. Transgender-focused evidence and gender-affirming care are excluded from synthesis. See Exclusions and Literature for the population-screening rules.</x:v>
      </x:c>
      <x:c r="F4" s="2309" t="str">
        <x:v>Current scope: care for cisgender men and women. Transgender-focused evidence and gender-affirming care are excluded from synthesis. See Exclusions and Literature for the population-screening rules.</x:v>
      </x:c>
      <x:c r="G4" s="214"/>
      <x:c r="H4" s="214"/>
      <x:c r="I4" s="214"/>
      <x:c r="J4" s="214"/>
      <x:c r="K4" s="214"/>
      <x:c r="L4" s="214"/>
      <x:c r="M4" s="214"/>
      <x:c r="N4" s="214"/>
      <x:c r="O4" s="214"/>
      <x:c r="P4" s="214"/>
      <x:c r="Q4" s="214"/>
      <x:c r="R4" s="214"/>
      <x:c r="S4" s="214"/>
      <x:c r="T4" s="214"/>
      <x:c r="U4" s="2309" t="str">
        <x:v>Classify the item and indication: shared systems, reproductive anatomy, reproductive physiology, or mixed/site-dependent care. Sex-defined eligibility is recorded separately.</x:v>
      </x:c>
      <x:c r="V4" s="2309" t="str">
        <x:v>Classify the item and indication: shared systems, reproductive anatomy, reproductive physiology, or mixed/site-dependent care. Sex-defined eligibility is recorded separately.</x:v>
      </x:c>
      <x:c r="W4" s="2309" t="str">
        <x:v>Classify the item and indication: shared systems, reproductive anatomy, reproductive physiology, or mixed/site-dependent care. Sex-defined eligibility is recorded separately.</x:v>
      </x:c>
      <x:c r="X4" s="2309" t="str">
        <x:v>Classify the item and indication: shared systems, reproductive anatomy, reproductive physiology, or mixed/site-dependent care. Sex-defined eligibility is recorded separately.</x:v>
      </x:c>
    </x:row>
    <x:row r="5" ht="22" customHeight="1">
      <x:c r="A5" s="220" t="str">
        <x:v>“Not established” means this review did not resolve item-specific coverage. It does not mean excluded. Local rules and selected-plan examples are labeled in the scope column.</x:v>
      </x:c>
      <x:c r="B5" s="220" t="str">
        <x:v>“Not established” means this review did not resolve item-specific coverage. It does not mean excluded. Local rules and selected-plan examples are labeled in the scope column.</x:v>
      </x:c>
      <x:c r="C5" s="220" t="str">
        <x:v>“Not established” means this review did not resolve item-specific coverage. It does not mean excluded. Local rules and selected-plan examples are labeled in the scope column.</x:v>
      </x:c>
      <x:c r="D5" s="220" t="str">
        <x:v>“Not established” means this review did not resolve item-specific coverage. It does not mean excluded. Local rules and selected-plan examples are labeled in the scope column.</x:v>
      </x:c>
      <x:c r="E5" s="220" t="str">
        <x:v>“Not established” means this review did not resolve item-specific coverage. It does not mean excluded. Local rules and selected-plan examples are labeled in the scope column.</x:v>
      </x:c>
      <x:c r="F5" s="220" t="str">
        <x:v>“Not established” means this review did not resolve item-specific coverage. It does not mean excluded. Local rules and selected-plan examples are labeled in the scope column.</x:v>
      </x:c>
      <x:c r="G5" s="214"/>
      <x:c r="H5" s="214"/>
      <x:c r="I5" s="214"/>
      <x:c r="J5" s="214"/>
      <x:c r="K5" s="214"/>
      <x:c r="L5" s="214"/>
      <x:c r="M5" s="214"/>
      <x:c r="N5" s="214"/>
      <x:c r="O5" s="214"/>
      <x:c r="P5" s="214"/>
      <x:c r="Q5" s="214"/>
      <x:c r="R5" s="214"/>
      <x:c r="S5" s="214"/>
      <x:c r="T5" s="214"/>
      <x:c r="U5" s="2309" t="str">
        <x:v>Filter Clinical basis to review each group. Counts describe selected inventory rows. Clinical guidance IDs resolve in the bibliography; classifications do not change coverage findings.</x:v>
      </x:c>
      <x:c r="V5" s="2309" t="str">
        <x:v>Filter Clinical basis to review each group. Counts describe selected inventory rows. Clinical guidance IDs resolve in the bibliography; classifications do not change coverage findings.</x:v>
      </x:c>
      <x:c r="W5" s="2309" t="str">
        <x:v>Filter Clinical basis to review each group. Counts describe selected inventory rows. Clinical guidance IDs resolve in the bibliography; classifications do not change coverage findings.</x:v>
      </x:c>
      <x:c r="X5" s="2309" t="str">
        <x:v>Filter Clinical basis to review each group. Counts describe selected inventory rows. Clinical guidance IDs resolve in the bibliography; classifications do not change coverage findings.</x:v>
      </x:c>
    </x:row>
    <x:row r="6" ht="22" customHeight="1">
      <x:c r="A6" s="220" t="str">
        <x:v>“Not established” means this review did not resolve item-specific coverage. It does not mean excluded. Local rules and selected-plan examples are labeled in the scope column.</x:v>
      </x:c>
      <x:c r="B6" s="220" t="str">
        <x:v>“Not established” means this review did not resolve item-specific coverage. It does not mean excluded. Local rules and selected-plan examples are labeled in the scope column.</x:v>
      </x:c>
      <x:c r="C6" s="220" t="str">
        <x:v>“Not established” means this review did not resolve item-specific coverage. It does not mean excluded. Local rules and selected-plan examples are labeled in the scope column.</x:v>
      </x:c>
      <x:c r="D6" s="220" t="str">
        <x:v>“Not established” means this review did not resolve item-specific coverage. It does not mean excluded. Local rules and selected-plan examples are labeled in the scope column.</x:v>
      </x:c>
      <x:c r="E6" s="220" t="str">
        <x:v>“Not established” means this review did not resolve item-specific coverage. It does not mean excluded. Local rules and selected-plan examples are labeled in the scope column.</x:v>
      </x:c>
      <x:c r="F6" s="220" t="str">
        <x:v>“Not established” means this review did not resolve item-specific coverage. It does not mean excluded. Local rules and selected-plan examples are labeled in the scope column.</x:v>
      </x:c>
      <x:c r="G6" s="214"/>
      <x:c r="H6" s="214"/>
      <x:c r="I6" s="214"/>
      <x:c r="J6" s="214"/>
      <x:c r="K6" s="214"/>
      <x:c r="L6" s="214"/>
      <x:c r="M6" s="214"/>
      <x:c r="N6" s="214"/>
      <x:c r="O6" s="214"/>
      <x:c r="P6" s="214"/>
      <x:c r="Q6" s="214"/>
      <x:c r="R6" s="214"/>
      <x:c r="S6" s="214"/>
      <x:c r="T6" s="214"/>
      <x:c r="U6" s="2309" t="str">
        <x:v>Filter Clinical basis to review each group. Counts describe selected inventory rows. Clinical guidance IDs resolve in the bibliography; classifications do not change coverage findings.</x:v>
      </x:c>
      <x:c r="V6" s="2309" t="str">
        <x:v>Filter Clinical basis to review each group. Counts describe selected inventory rows. Clinical guidance IDs resolve in the bibliography; classifications do not change coverage findings.</x:v>
      </x:c>
      <x:c r="W6" s="2309" t="str">
        <x:v>Filter Clinical basis to review each group. Counts describe selected inventory rows. Clinical guidance IDs resolve in the bibliography; classifications do not change coverage findings.</x:v>
      </x:c>
      <x:c r="X6" s="2309" t="str">
        <x:v>Filter Clinical basis to review each group. Counts describe selected inventory rows. Clinical guidance IDs resolve in the bibliography; classifications do not change coverage findings.</x:v>
      </x:c>
    </x:row>
    <x:row r="7" ht="22" customHeight="1">
      <x:c r="A7" s="214"/>
      <x:c r="B7" s="214"/>
      <x:c r="C7" s="214"/>
      <x:c r="D7" s="214"/>
      <x:c r="E7" s="214"/>
      <x:c r="F7" s="214"/>
      <x:c r="G7" s="214"/>
      <x:c r="H7" s="214"/>
      <x:c r="I7" s="214"/>
      <x:c r="J7" s="214"/>
      <x:c r="K7" s="214"/>
      <x:c r="L7" s="214"/>
      <x:c r="M7" s="214"/>
      <x:c r="N7" s="214"/>
      <x:c r="O7" s="214"/>
      <x:c r="P7" s="214"/>
      <x:c r="Q7" s="214"/>
      <x:c r="R7" s="214"/>
      <x:c r="S7" s="214"/>
      <x:c r="T7" s="214"/>
    </x:row>
    <x:row r="8" ht="36" customHeight="1">
      <x:c r="A8" s="224" t="str">
        <x:v>Item ID</x:v>
      </x:c>
      <x:c r="B8" s="224" t="str">
        <x:v>Care item</x:v>
      </x:c>
      <x:c r="C8" s="224" t="str">
        <x:v>Coverage status</x:v>
      </x:c>
      <x:c r="D8" s="224" t="str">
        <x:v>Medicare part</x:v>
      </x:c>
      <x:c r="E8" s="224" t="str">
        <x:v>Indication</x:v>
      </x:c>
      <x:c r="F8" s="224" t="str">
        <x:v>Population</x:v>
      </x:c>
      <x:c r="G8" s="224" t="str">
        <x:v>Domain</x:v>
      </x:c>
      <x:c r="H8" s="224" t="str">
        <x:v>Policy scope / date</x:v>
      </x:c>
      <x:c r="I8" s="224" t="str">
        <x:v>Coverage rule</x:v>
      </x:c>
      <x:c r="J8" s="224" t="str">
        <x:v>Comparison</x:v>
      </x:c>
      <x:c r="K8" s="224" t="str">
        <x:v>Evidence on disparity or access</x:v>
      </x:c>
      <x:c r="L8" s="224" t="str">
        <x:v>Evidence type</x:v>
      </x:c>
      <x:c r="M8" s="224" t="str">
        <x:v>Limits / counterevidence</x:v>
      </x:c>
      <x:c r="N8" s="224" t="str">
        <x:v>Next research question</x:v>
      </x:c>
      <x:c r="O8" s="224" t="str">
        <x:v>Study IDs</x:v>
      </x:c>
      <x:c r="P8" s="224" t="str">
        <x:v>Reviewed</x:v>
      </x:c>
      <x:c r="Q8" s="2308" t="str">
        <x:v> </x:v>
      </x:c>
      <x:c r="R8" s="224" t="str">
        <x:v>Primary policy / formulary source</x:v>
      </x:c>
      <x:c r="S8" s="224" t="str">
        <x:v>Additional policy / label source</x:v>
      </x:c>
      <x:c r="T8" s="224" t="str">
        <x:v>Reviewer notes</x:v>
      </x:c>
      <x:c r="U8" s="2291" t="str">
        <x:v>Clinical basis</x:v>
      </x:c>
      <x:c r="V8" s="2291" t="str">
        <x:v>Sex / eligibility distinction</x:v>
      </x:c>
      <x:c r="W8" s="2291" t="str">
        <x:v>Analysis approach</x:v>
      </x:c>
      <x:c r="X8" s="2291" t="str">
        <x:v>Classification rationale</x:v>
      </x:c>
    </x:row>
    <x:row r="9" ht="117" customHeight="1">
      <x:c r="A9" s="2292" t="str">
        <x:v>D01</x:v>
      </x:c>
      <x:c r="B9" s="2292" t="str">
        <x:v>Generic oral estradiol</x:v>
      </x:c>
      <x:c r="C9" s="2297" t="str">
        <x:v>Covered with conditions</x:v>
      </x:c>
      <x:c r="D9" s="2292" t="str">
        <x:v>Part D</x:v>
      </x:c>
      <x:c r="E9" s="2292" t="str">
        <x:v>Menopausal vasomotor symptoms</x:v>
      </x:c>
      <x:c r="F9" s="2292" t="str">
        <x:v>Women experiencing menopause; most cited evidence concerns postmenopausal women</x:v>
      </x:c>
      <x:c r="G9" s="2292" t="str">
        <x:v>Menopause</x:v>
      </x:c>
      <x:c r="H9" s="2292" t="str">
        <x:v>CMS August 2026 snapshot; Blue Medicare Essential Plus HMO-POS, September 1, 2026, printed page 58.</x:v>
      </x:c>
      <x:c r="I9" s="2292" t="str">
        <x:v>All analyzed unsuppressed plan segments listed at least one generic oral estradiol product. Blue Medicare Essential Plus lists 0.5/1/2 mg tablets at Tier 1. No nationwide exclusion of generic estradiol was found.</x:v>
      </x:c>
      <x:c r="J9" s="2292" t="str">
        <x:v>Compare hormone replacement with testosterone for documented hypogonadism; Viagra for erectile dysfunction has a different statutory treatment.</x:v>
      </x:c>
      <x:c r="K9" s="2292" t="str">
        <x:v>Broad formulary listing is counterevidence to a blanket female-hormone exclusion; it does not establish affordability, successful claims, or equal treatment.</x:v>
      </x:c>
      <x:c r="L9" s="2292" t="str">
        <x:v>National descriptive formulary analysis; plan policy; observational outcomes</x:v>
      </x:c>
      <x:c r="M9" s="2292" t="str">
        <x:v>Listing does not cover every manufacturer, diagnosis, or claim. Oral systemic estrogen cannot be treated as clinically equivalent to vaginal estrogen or every testosterone use.</x:v>
      </x:c>
      <x:c r="N9" s="2292" t="str">
        <x:v>What are age-specific denial rates, patient costs, and exceptions for the same indication?</x:v>
      </x:c>
      <x:c r="O9" s="2292" t="str">
        <x:v>L-D02, L-D10</x:v>
      </x:c>
      <x:c r="P9" s="2293" t="n">
        <x:v>46281.5</x:v>
      </x:c>
      <x:c r="Q9" s="2294" t="str"/>
      <x:c r="R9" s="2295" t="str">
        <x:v>https://www.myprime.com/content/dam/prime/memberportal/WebDocs/2026/Formularies/MedD/2026%20Blue%20Medicare%20Essential%20Plus%20%28HMO-POS%29%20Formulary.pdf</x:v>
      </x:c>
      <x:c r="S9" s="2295" t="str"/>
      <x:c r="T9" s="2307" t="str"/>
      <x:c r="U9" s="2296" t="str">
        <x:v>Female reproductive physiology</x:v>
      </x:c>
      <x:c r="V9" s="2296" t="str">
        <x:v>Menopause indication; systemic hormone treatment</x:v>
      </x:c>
      <x:c r="W9" s="2296" t="str">
        <x:v>Compare access among clinically eligible patients and alternative treatments. Analyze reproductive physiology separately from organ-specific procedures.</x:v>
      </x:c>
      <x:c r="X9" s="2296" t="str">
        <x:v>Classified by menopausal indication, not estradiol as a molecule. Other indications require separate rows.</x:v>
      </x:c>
    </x:row>
    <x:row r="10" ht="117" customHeight="1">
      <x:c r="A10" s="2298" t="str">
        <x:v>D02</x:v>
      </x:c>
      <x:c r="B10" s="2298" t="str">
        <x:v>Transdermal estradiol patches and topical gels</x:v>
      </x:c>
      <x:c r="C10" s="2303" t="str">
        <x:v>Plan dependent</x:v>
      </x:c>
      <x:c r="D10" s="2298" t="str">
        <x:v>Part D</x:v>
      </x:c>
      <x:c r="E10" s="2298" t="str">
        <x:v>Menopausal vasomotor symptoms</x:v>
      </x:c>
      <x:c r="F10" s="2298" t="str">
        <x:v>Women experiencing menopause who need systemic therapy</x:v>
      </x:c>
      <x:c r="G10" s="2298" t="str">
        <x:v>Menopause</x:v>
      </x:c>
      <x:c r="H10" s="2298" t="str">
        <x:v>CMS August 2026 snapshot; selected plan September 1, 2026. See separate national formulary results.</x:v>
      </x:c>
      <x:c r="I10" s="2298" t="str">
        <x:v>The national snapshot shows wider listing of generic patches than gels. Blue Medicare Essential Plus lists patches at Tier 3 and gel at Tier 4; route and formulation matter.</x:v>
      </x:c>
      <x:c r="J10" s="2298" t="str">
        <x:v>Compare with oral estradiol and testosterone gel while accounting for indication, clinical suitability, and formulary alternatives.</x:v>
      </x:c>
      <x:c r="K10" s="2298" t="str">
        <x:v>Route-specific access differences are observed; their cause and clinical consequences are not established by listing data.</x:v>
      </x:c>
      <x:c r="L10" s="2298" t="str">
        <x:v>National descriptive formulary analysis; plan policy; observational outcomes</x:v>
      </x:c>
      <x:c r="M10" s="2298" t="str">
        <x:v>Formulations are not interchangeable for every patient. Observational route comparisons cannot establish causal superiority or prove discriminatory restrictions.</x:v>
      </x:c>
      <x:c r="N10" s="2298" t="str">
        <x:v>How often are a clinically preferred route and its exception denied?</x:v>
      </x:c>
      <x:c r="O10" s="2298" t="str">
        <x:v>L-D02, L-D10</x:v>
      </x:c>
      <x:c r="P10" s="2299" t="n">
        <x:v>46281.5</x:v>
      </x:c>
      <x:c r="Q10" s="2294" t="str"/>
      <x:c r="R10" s="2301" t="str">
        <x:v>https://www.myprime.com/content/dam/prime/memberportal/WebDocs/2026/Formularies/MedD/2026%20Blue%20Medicare%20Essential%20Plus%20%28HMO-POS%29%20Formulary.pdf</x:v>
      </x:c>
      <x:c r="S10" s="2301" t="str"/>
      <x:c r="T10" s="2307" t="str"/>
      <x:c r="U10" s="2302" t="str">
        <x:v>Female reproductive physiology</x:v>
      </x:c>
      <x:c r="V10" s="2302" t="str">
        <x:v>Menopause indication; systemic hormone treatment</x:v>
      </x:c>
      <x:c r="W10" s="2302" t="str">
        <x:v>Compare access among clinically eligible patients and alternative treatments. Analyze reproductive physiology separately from organ-specific procedures.</x:v>
      </x:c>
      <x:c r="X10" s="2302" t="str">
        <x:v>Route and formulary restrictions remain separate from the physiology classification.</x:v>
      </x:c>
    </x:row>
    <x:row r="11" ht="117" customHeight="1">
      <x:c r="A11" s="2292" t="str">
        <x:v>D03</x:v>
      </x:c>
      <x:c r="B11" s="2292" t="str">
        <x:v>Low-dose vaginal estradiol: cream, insert/tablet, or local ring</x:v>
      </x:c>
      <x:c r="C11" s="2297" t="str">
        <x:v>Covered with conditions</x:v>
      </x:c>
      <x:c r="D11" s="2292" t="str">
        <x:v>Part D</x:v>
      </x:c>
      <x:c r="E11" s="2292" t="str">
        <x:v>Genitourinary syndrome of menopause, including vaginal dryness and atrophy-related painful intercourse</x:v>
      </x:c>
      <x:c r="F11" s="2292" t="str">
        <x:v>Postmenopausal women with symptomatic GSM</x:v>
      </x:c>
      <x:c r="G11" s="2292" t="str">
        <x:v>Genitourinary menopause</x:v>
      </x:c>
      <x:c r="H11" s="2292" t="str">
        <x:v>CMS August 2026 snapshot; selected plan September 1, 2026. Local Estring is distinct from systemic estrogen rings.</x:v>
      </x:c>
      <x:c r="I11" s="2292" t="str">
        <x:v>Generic cream appears in all analyzed unsuppressed plan segments; inserts and Estring vary. Selected Blue Medicare tiers differ by formulation. These atrophy treatments are not categorically excluded merely because symptoms affect sexual activity.</x:v>
      </x:c>
      <x:c r="J11" s="2292" t="str">
        <x:v>Compare local formulations and nonhormonal moisturizers; erectile-dysfunction medicines address a different condition and benefit exclusion.</x:v>
      </x:c>
      <x:c r="K11" s="2292" t="str">
        <x:v>A Medicare study reports rising spending per treated beneficiary for selected vaginal-estrogen products; national listing contradicts a blanket exclusion. Direct evidence of sex-based denials is absent.</x:v>
      </x:c>
      <x:c r="L11" s="2292" t="str">
        <x:v>Medicare prescribing/cost study; randomized trial; systematic review; formulary analysis</x:v>
      </x:c>
      <x:c r="M11" s="2292" t="str">
        <x:v>Cost study may be affected by product selection and generic substitution. A 302-person trial found no additional symptom benefit over placebo; broader review finds some benefits with low certainty.</x:v>
      </x:c>
      <x:c r="N11" s="2292" t="str">
        <x:v>Which formulation provides accessible treatment for patients unable to use covered cream?</x:v>
      </x:c>
      <x:c r="O11" s="2292" t="str">
        <x:v>L-D01, L-D03, L-D04</x:v>
      </x:c>
      <x:c r="P11" s="2293" t="n">
        <x:v>46281.5</x:v>
      </x:c>
      <x:c r="Q11" s="2294" t="str"/>
      <x:c r="R11" s="2295" t="str">
        <x:v>https://www.myprime.com/content/dam/prime/memberportal/WebDocs/2026/Formularies/MedD/2026%20Blue%20Medicare%20Essential%20Plus%20%28HMO-POS%29%20Formulary.pdf</x:v>
      </x:c>
      <x:c r="S11" s="2295" t="str"/>
      <x:c r="T11" s="2307" t="str"/>
      <x:c r="U11" s="2296" t="str">
        <x:v>Female reproductive anatomy</x:v>
      </x:c>
      <x:c r="V11" s="2296" t="str">
        <x:v>Vaginal tissue; menopausal indication</x:v>
      </x:c>
      <x:c r="W11" s="2296" t="str">
        <x:v>Assess organ-specific clinical need and benefit. Compare other services only when purpose, complexity and resources are defensibly comparable.</x:v>
      </x:c>
      <x:c r="X11" s="2296" t="str">
        <x:v>Local vaginal treatment is distinguished from systemic treatment of menopausal vasomotor symptoms.</x:v>
      </x:c>
    </x:row>
    <x:row r="12" ht="117" customHeight="1">
      <x:c r="A12" s="2298" t="str">
        <x:v>D04</x:v>
      </x:c>
      <x:c r="B12" s="2298" t="str">
        <x:v>Systemic estradiol plus progestogen</x:v>
      </x:c>
      <x:c r="C12" s="2303" t="str">
        <x:v>Plan dependent</x:v>
      </x:c>
      <x:c r="D12" s="2298" t="str">
        <x:v>Part D</x:v>
      </x:c>
      <x:c r="E12" s="2298" t="str">
        <x:v>Menopausal vasomotor symptoms when endometrial protection is needed</x:v>
      </x:c>
      <x:c r="F12" s="2298" t="str">
        <x:v>Postmenopausal women with a uterus</x:v>
      </x:c>
      <x:c r="G12" s="2298" t="str">
        <x:v>Menopause</x:v>
      </x:c>
      <x:c r="H12" s="2298" t="str">
        <x:v>Selected plan September 1, 2026; not a census of all combination regimens or standalone progesterone.</x:v>
      </x:c>
      <x:c r="I12" s="2298" t="str">
        <x:v>Blue Medicare Essential Plus lists estradiol/norethindrone combination tablets at Tier 4. Coverage and age-related prior authorization vary by plan and product; there is no universal prohibition on combined menopausal therapy.</x:v>
      </x:c>
      <x:c r="J12" s="2298" t="str">
        <x:v>Compare complete regimens, including progestogen, rather than estrogen alone in patients with a uterus.</x:v>
      </x:c>
      <x:c r="K12" s="2298" t="str">
        <x:v>Product and age rules can burden access; historic randomized safety findings provide relevant counterevidence to interpreting every restriction as sex bias.</x:v>
      </x:c>
      <x:c r="L12" s="2298" t="str">
        <x:v>Plan formulary; randomized clinical evidence; Medicare observational outcomes</x:v>
      </x:c>
      <x:c r="M12" s="2298" t="str">
        <x:v>WHI studied oral conjugated estrogens plus medroxyprogesterone for chronic-disease prevention. It cannot determine the benefit-risk balance of every modern formulation, symptom indication, or younger patient.</x:v>
      </x:c>
      <x:c r="N12" s="2298" t="str">
        <x:v>Are restrictions aligned with formulation-specific evidence and individualized clinical risk?</x:v>
      </x:c>
      <x:c r="O12" s="2298" t="str">
        <x:v>L-D02, L-D10</x:v>
      </x:c>
      <x:c r="P12" s="2299" t="n">
        <x:v>46281.5</x:v>
      </x:c>
      <x:c r="Q12" s="2294" t="str"/>
      <x:c r="R12" s="2301" t="str">
        <x:v>https://www.myprime.com/content/dam/prime/memberportal/WebDocs/2026/Formularies/MedD/2026%20Blue%20Medicare%20Essential%20Plus%20%28HMO-POS%29%20Formulary.pdf</x:v>
      </x:c>
      <x:c r="S12" s="2301" t="str"/>
      <x:c r="T12" s="2307" t="str"/>
      <x:c r="U12" s="2302" t="str">
        <x:v>Female reproductive physiology</x:v>
      </x:c>
      <x:c r="V12" s="2302" t="str">
        <x:v>Menopause plus a uterine/endometrial requirement</x:v>
      </x:c>
      <x:c r="W12" s="2302" t="str">
        <x:v>Compare access among clinically eligible patients and alternative treatments. Analyze reproductive physiology separately from organ-specific procedures.</x:v>
      </x:c>
      <x:c r="X12" s="2302" t="str">
        <x:v>Primary purpose is systemic menopausal treatment; progestogen provides endometrial protection. Preserve the uterus requirement as an additional anatomical feature.</x:v>
      </x:c>
    </x:row>
    <x:row r="13" ht="117" customHeight="1">
      <x:c r="A13" s="2292" t="str">
        <x:v>D05</x:v>
      </x:c>
      <x:c r="B13" s="2292" t="str">
        <x:v>Fezolinetant (Veozah)</x:v>
      </x:c>
      <x:c r="C13" s="2303" t="str">
        <x:v>Plan dependent</x:v>
      </x:c>
      <x:c r="D13" s="2292" t="str">
        <x:v>Part D</x:v>
      </x:c>
      <x:c r="E13" s="2292" t="str">
        <x:v>Moderate-to-severe vasomotor symptoms due to menopause</x:v>
      </x:c>
      <x:c r="F13" s="2292" t="str">
        <x:v>Women with menopausal vasomotor symptoms, including those avoiding hormones</x:v>
      </x:c>
      <x:c r="G13" s="2292" t="str">
        <x:v>Menopause</x:v>
      </x:c>
      <x:c r="H13" s="2292" t="str">
        <x:v>CMS August 2026 snapshot; selected plan September 1, 2026, printed page 47.</x:v>
      </x:c>
      <x:c r="I13" s="2292" t="str">
        <x:v>Listing varies nationally; most listing segments flag prior authorization for every listed option. Blue Medicare Essential Plus lists 45 mg at Tier 4 with prior authorization and a quantity limit.</x:v>
      </x:c>
      <x:c r="J13" s="2292" t="str">
        <x:v>Compare with systemic estrogen when suitable and other nonhormonal treatments; differences in price and safety must be examined.</x:v>
      </x:c>
      <x:c r="K13" s="2292" t="str">
        <x:v>Coverage friction is measurable; evidence does not show whether restrictions cause unequal access relative to clinically comparable male treatments.</x:v>
      </x:c>
      <x:c r="L13" s="2292" t="str">
        <x:v>National formulary analysis; randomized efficacy trial; FDA safety communication</x:v>
      </x:c>
      <x:c r="M13" s="2292" t="str">
        <x:v>SKYLIGHT 1 enrolled women aged 40–65. Short trials cannot establish safety in older Medicare populations; FDA subsequently added a serious liver-injury warning and monitoring requirements.</x:v>
      </x:c>
      <x:c r="N13" s="2292" t="str">
        <x:v>Do prior authorization criteria allow exceptions for contraindications or intolerance to alternatives?</x:v>
      </x:c>
      <x:c r="O13" s="2292" t="str">
        <x:v>L-D05</x:v>
      </x:c>
      <x:c r="P13" s="2293" t="n">
        <x:v>46281.5</x:v>
      </x:c>
      <x:c r="Q13" s="2294" t="str"/>
      <x:c r="R13" s="2295" t="str">
        <x:v>https://www.myprime.com/content/dam/prime/memberportal/WebDocs/2026/Formularies/MedD/2026%20Blue%20Medicare%20Essential%20Plus%20%28HMO-POS%29%20Formulary.pdf</x:v>
      </x:c>
      <x:c r="S13" s="2295" t="str">
        <x:v>https://www.fda.gov/drugs/drug-safety-communications/fda-adds-warning-about-rare-occurrence-serious-liver-injury-use-veozah-fezolinetant-hot-flashes-due</x:v>
      </x:c>
      <x:c r="T13" s="2307" t="str"/>
      <x:c r="U13" s="2296" t="str">
        <x:v>Female reproductive physiology</x:v>
      </x:c>
      <x:c r="V13" s="2296" t="str">
        <x:v>Menopausal vasomotor indication</x:v>
      </x:c>
      <x:c r="W13" s="2296" t="str">
        <x:v>Compare access among clinically eligible patients and alternative treatments. Analyze reproductive physiology separately from organ-specific procedures.</x:v>
      </x:c>
      <x:c r="X13" s="2296" t="str">
        <x:v>Nonhormonal mechanism does not make the menopausal indication a general shared condition.</x:v>
      </x:c>
    </x:row>
    <x:row r="14" ht="117" customHeight="1">
      <x:c r="A14" s="2298" t="str">
        <x:v>D06</x:v>
      </x:c>
      <x:c r="B14" s="2298" t="str">
        <x:v>Paroxetine mesylate 7.5 mg capsule</x:v>
      </x:c>
      <x:c r="C14" s="2303" t="str">
        <x:v>Plan dependent</x:v>
      </x:c>
      <x:c r="D14" s="2298" t="str">
        <x:v>Part D</x:v>
      </x:c>
      <x:c r="E14" s="2298" t="str">
        <x:v>Moderate-to-severe menopausal vasomotor symptoms</x:v>
      </x:c>
      <x:c r="F14" s="2298" t="str">
        <x:v>Postmenopausal women seeking nonhormonal treatment</x:v>
      </x:c>
      <x:c r="G14" s="2298" t="str">
        <x:v>Menopause</x:v>
      </x:c>
      <x:c r="H14" s="2298" t="str">
        <x:v>CMS August 2026 snapshot; RxCUI 1430122 independently mapped in the CMS reference file.</x:v>
      </x:c>
      <x:c r="I14" s="2298" t="str">
        <x:v>The August 2026 basic formulary file lists the menopause-specific 7.5 mg capsule in some formularies. Do not infer its coverage from generic paroxetine antidepressant tablets.</x:v>
      </x:c>
      <x:c r="J14" s="2298" t="str">
        <x:v>Compare approved 7.5 mg capsules with other nonhormonal therapies; alternative paroxetine doses have different labeling and coverage questions.</x:v>
      </x:c>
      <x:c r="K14" s="2298" t="str">
        <x:v>Variation within the same active moiety is a concrete access question; neither formulation preference nor clinical efficacy establishes sex discrimination.</x:v>
      </x:c>
      <x:c r="L14" s="2298" t="str">
        <x:v>National formulary record; two randomized efficacy trials</x:v>
      </x:c>
      <x:c r="M14" s="2298" t="str">
        <x:v>This supplementary screen is separate from the original drug-group table. Off-label alternatives require their own medically accepted indication and benefit assessment.</x:v>
      </x:c>
      <x:c r="N14" s="2298" t="str">
        <x:v>Do plans offer a usable nonhormonal option when estrogen is inappropriate?</x:v>
      </x:c>
      <x:c r="O14" s="2298" t="str">
        <x:v>L-D06</x:v>
      </x:c>
      <x:c r="P14" s="2299" t="n">
        <x:v>46281.5</x:v>
      </x:c>
      <x:c r="Q14" s="2294" t="str"/>
      <x:c r="R14" s="2301" t="str">
        <x:v>https://data.cms.gov/sites/default/files/2026-08/d8c9b393-66f0-4973-a748-f66742fe0fd2/2026_20260819.zip</x:v>
      </x:c>
      <x:c r="S14" s="2301" t="str"/>
      <x:c r="T14" s="2307" t="str"/>
      <x:c r="U14" s="2302" t="str">
        <x:v>Female reproductive physiology</x:v>
      </x:c>
      <x:c r="V14" s="2302" t="str">
        <x:v>Menopausal vasomotor indication</x:v>
      </x:c>
      <x:c r="W14" s="2302" t="str">
        <x:v>Compare access among clinically eligible patients and alternative treatments. Analyze reproductive physiology separately from organ-specific procedures.</x:v>
      </x:c>
      <x:c r="X14" s="2302" t="str">
        <x:v>Classify this dose and indication separately from paroxetine used for other conditions.</x:v>
      </x:c>
    </x:row>
    <x:row r="15" ht="117" customHeight="1">
      <x:c r="A15" s="2292" t="str">
        <x:v>D07</x:v>
      </x:c>
      <x:c r="B15" s="2292" t="str">
        <x:v>Ospemifene (Osphena)</x:v>
      </x:c>
      <x:c r="C15" s="2303" t="str">
        <x:v>Plan dependent</x:v>
      </x:c>
      <x:c r="D15" s="2292" t="str">
        <x:v>Part D</x:v>
      </x:c>
      <x:c r="E15" s="2292" t="str">
        <x:v>Moderate-to-severe dyspareunia or vaginal dryness due to menopausal vulvovaginal atrophy</x:v>
      </x:c>
      <x:c r="F15" s="2292" t="str">
        <x:v>Postmenopausal women with symptomatic vulvovaginal atrophy</x:v>
      </x:c>
      <x:c r="G15" s="2292" t="str">
        <x:v>Genitourinary menopause</x:v>
      </x:c>
      <x:c r="H15" s="2292" t="str">
        <x:v>CMS August 2026 snapshot; see separate national listing and prior-authorization table.</x:v>
      </x:c>
      <x:c r="I15" s="2292" t="str">
        <x:v>Ospemifene is listed in a minority of analyzed basic formularies; prior authorization is common where listed. Basic listing confirms that atrophy-related painful intercourse is not automatically treated as excluded sexual dysfunction.</x:v>
      </x:c>
      <x:c r="J15" s="2292" t="str">
        <x:v>Compare with vaginal estrogen and prasterone for the same atrophy symptoms, accounting for route and contraindications.</x:v>
      </x:c>
      <x:c r="K15" s="2292" t="str">
        <x:v>Access is substantially narrower than generic vaginal estrogen. The data identify a formulation/therapy difference, not its cause or a male-female causal disparity.</x:v>
      </x:c>
      <x:c r="L15" s="2292" t="str">
        <x:v>National formulary analysis; systematic review of randomized trials</x:v>
      </x:c>
      <x:c r="M15" s="2292" t="str">
        <x:v>Low-certainty short-term efficacy evidence; no proof of superiority for all patients. Nonlisting does not determine exception outcomes or final reimbursement.</x:v>
      </x:c>
      <x:c r="N15" s="2292" t="str">
        <x:v>Are covered alternatives clinically feasible and exceptions timely for patients who cannot use vaginal products?</x:v>
      </x:c>
      <x:c r="O15" s="2292" t="str">
        <x:v>L-D04</x:v>
      </x:c>
      <x:c r="P15" s="2293" t="n">
        <x:v>46281.5</x:v>
      </x:c>
      <x:c r="Q15" s="2294" t="str"/>
      <x:c r="R15" s="2295" t="str">
        <x:v>https://data.cms.gov/sites/default/files/2026-08/d8c9b393-66f0-4973-a748-f66742fe0fd2/2026_20260819.zip</x:v>
      </x:c>
      <x:c r="S15" s="2295" t="str"/>
      <x:c r="T15" s="2307" t="str"/>
      <x:c r="U15" s="2296" t="str">
        <x:v>Female reproductive anatomy</x:v>
      </x:c>
      <x:c r="V15" s="2296" t="str">
        <x:v>Vulvovaginal tissue; menopausal indication</x:v>
      </x:c>
      <x:c r="W15" s="2296" t="str">
        <x:v>Assess organ-specific clinical need and benefit. Compare other services only when purpose, complexity and resources are defensibly comparable.</x:v>
      </x:c>
      <x:c r="X15" s="2296" t="str">
        <x:v>Oral administration does not change the anatomical target of this recorded indication.</x:v>
      </x:c>
    </x:row>
    <x:row r="16" ht="117" customHeight="1">
      <x:c r="A16" s="2298" t="str">
        <x:v>D08</x:v>
      </x:c>
      <x:c r="B16" s="2298" t="str">
        <x:v>Vaginal prasterone (Intrarosa)</x:v>
      </x:c>
      <x:c r="C16" s="2303" t="str">
        <x:v>Plan dependent</x:v>
      </x:c>
      <x:c r="D16" s="2298" t="str">
        <x:v>Part D</x:v>
      </x:c>
      <x:c r="E16" s="2298" t="str">
        <x:v>Moderate-to-severe dyspareunia due to menopausal vulvovaginal atrophy</x:v>
      </x:c>
      <x:c r="F16" s="2298" t="str">
        <x:v>Postmenopausal women with atrophy-related painful intercourse</x:v>
      </x:c>
      <x:c r="G16" s="2298" t="str">
        <x:v>Genitourinary menopause</x:v>
      </x:c>
      <x:c r="H16" s="2298" t="str">
        <x:v>CMS August 2026 snapshot; see separate national listing table.</x:v>
      </x:c>
      <x:c r="I16" s="2298" t="str">
        <x:v>Prasterone appears in very few analyzed basic formularies. Its presence demonstrates eligibility for this atrophy indication; a plan-specific exception may still be relevant when it is absent.</x:v>
      </x:c>
      <x:c r="J16" s="2298" t="str">
        <x:v>Compare with vaginal estrogen and ospemifene for the same symptom, rather than medicines for desire or erectile dysfunction.</x:v>
      </x:c>
      <x:c r="K16" s="2298" t="str">
        <x:v>Very narrow listing suggests a potential access barrier, but unmet need, denials, substitution, cost, and disparate impact were not measured.</x:v>
      </x:c>
      <x:c r="L16" s="2298" t="str">
        <x:v>National formulary analysis; systematic review of randomized trials</x:v>
      </x:c>
      <x:c r="M16" s="2298" t="str">
        <x:v>Evidence suggests short-term symptom benefit with low certainty. Limited long-term comparative data do not establish that all patients require this product.</x:v>
      </x:c>
      <x:c r="N16" s="2298" t="str">
        <x:v>Which patients lack an effective covered alternative, and what happens to their exception requests?</x:v>
      </x:c>
      <x:c r="O16" s="2298" t="str">
        <x:v>L-D04</x:v>
      </x:c>
      <x:c r="P16" s="2299" t="n">
        <x:v>46281.5</x:v>
      </x:c>
      <x:c r="Q16" s="2294" t="str"/>
      <x:c r="R16" s="2301" t="str">
        <x:v>https://data.cms.gov/sites/default/files/2026-08/d8c9b393-66f0-4973-a748-f66742fe0fd2/2026_20260819.zip</x:v>
      </x:c>
      <x:c r="S16" s="2301" t="str"/>
      <x:c r="T16" s="2307" t="str"/>
      <x:c r="U16" s="2302" t="str">
        <x:v>Female reproductive anatomy</x:v>
      </x:c>
      <x:c r="V16" s="2302" t="str">
        <x:v>Vaginal tissue; menopausal indication</x:v>
      </x:c>
      <x:c r="W16" s="2302" t="str">
        <x:v>Assess organ-specific clinical need and benefit. Compare other services only when purpose, complexity and resources are defensibly comparable.</x:v>
      </x:c>
      <x:c r="X16" s="2302" t="str">
        <x:v>Local treatment of menopausal vulvovaginal symptoms; do not classify all uses of the molecule together.</x:v>
      </x:c>
    </x:row>
    <x:row r="17" ht="117" customHeight="1">
      <x:c r="A17" s="2292" t="str">
        <x:v>D09</x:v>
      </x:c>
      <x:c r="B17" s="2292" t="str">
        <x:v>Sildenafil or Viagra for erectile dysfunction</x:v>
      </x:c>
      <x:c r="C17" s="2304" t="str">
        <x:v>Excluded for this use</x:v>
      </x:c>
      <x:c r="D17" s="2292" t="str">
        <x:v>Part D</x:v>
      </x:c>
      <x:c r="E17" s="2292" t="str">
        <x:v>Erectile dysfunction</x:v>
      </x:c>
      <x:c r="F17" s="2292" t="str">
        <x:v>Men with erectile dysfunction</x:v>
      </x:c>
      <x:c r="G17" s="2292" t="str">
        <x:v>Sexual health</x:v>
      </x:c>
      <x:c r="H17" s="2292" t="str">
        <x:v>Nationwide statutory exclusion; individual supplemental benefits vary. CMS guidance effective for erectile-dysfunction drugs from 2007.</x:v>
      </x:c>
      <x:c r="I17" s="2292" t="str">
        <x:v>Federal statute excludes drugs when used for sexual or erectile dysfunction from the basic Part D benefit. Supplemental coverage may exist. Sildenafil prescribed for an eligible nonsexual indication, such as pulmonary arterial hypertension, is a separate case.</x:v>
      </x:c>
      <x:c r="J17" s="2292" t="str">
        <x:v>Female HSDD drugs face the same statutory category. Atrophy treatments and pulmonary-hypertension treatment are different clinical uses.</x:v>
      </x:c>
      <x:c r="K17" s="2292" t="str">
        <x:v>This is counterevidence to the claim that standard Medicare reimburses Viagra for erectile dysfunction while universally excluding estradiol.</x:v>
      </x:c>
      <x:c r="L17" s="2292" t="str">
        <x:v>Federal statute; CMS benefit guidance; supplemental-plan example</x:v>
      </x:c>
      <x:c r="M17" s="2292" t="str">
        <x:v>The 2024 national dataset includes 398 Viagra claims, but lacks indication and benefit basis. Those records cannot establish standard Part D erectile-dysfunction coverage.</x:v>
      </x:c>
      <x:c r="N17" s="2292" t="str">
        <x:v>For a reported paid claim, what were the diagnosis, payer, product, and supplemental benefit?</x:v>
      </x:c>
      <x:c r="O17" s="2292" t="str"/>
      <x:c r="P17" s="2293" t="n">
        <x:v>46281.5</x:v>
      </x:c>
      <x:c r="Q17" s="2294" t="str"/>
      <x:c r="R17" s="2295" t="str">
        <x:v>https://www.ssa.gov/OP_Home/ssact/title18/1860D-02.htm</x:v>
      </x:c>
      <x:c r="S17" s="2295" t="str">
        <x:v>https://www.cms.gov/Medicare/Prescription-Drug-Coverage/PrescriptionDrugCovContra/Downloads/QAEDDrugs_070606.pdf</x:v>
      </x:c>
      <x:c r="T17" s="2307" t="str"/>
      <x:c r="U17" s="2296" t="str">
        <x:v>Male reproductive anatomy</x:v>
      </x:c>
      <x:c r="V17" s="2296" t="str">
        <x:v>Penile erectile function</x:v>
      </x:c>
      <x:c r="W17" s="2296" t="str">
        <x:v>Assess organ-specific clinical need and benefit. Compare other services only when purpose, complexity and resources are defensibly comparable.</x:v>
      </x:c>
      <x:c r="X17" s="2296" t="str">
        <x:v>This row concerns erectile dysfunction. Sildenafil for pulmonary vascular disease would need a separate shared-system row and coverage assessment.</x:v>
      </x:c>
    </x:row>
    <x:row r="18" ht="117" customHeight="1">
      <x:c r="A18" s="2298" t="str">
        <x:v>D10</x:v>
      </x:c>
      <x:c r="B18" s="2298" t="str">
        <x:v>Flibanserin (Addyi) for HSDD</x:v>
      </x:c>
      <x:c r="C18" s="2304" t="str">
        <x:v>Excluded for this use</x:v>
      </x:c>
      <x:c r="D18" s="2298" t="str">
        <x:v>Part D</x:v>
      </x:c>
      <x:c r="E18" s="2298" t="str">
        <x:v>Acquired, generalized hypoactive sexual desire disorder</x:v>
      </x:c>
      <x:c r="F18" s="2298" t="str">
        <x:v>FDA December 2025 label: women younger than 65, including postmenopausal women</x:v>
      </x:c>
      <x:c r="G18" s="2298" t="str">
        <x:v>Sexual health</x:v>
      </x:c>
      <x:c r="H18" s="2298" t="str">
        <x:v>Nationwide basic Part D exclusion; supplemental benefits vary. December 2025 FDA label expands beyond premenopausal women.</x:v>
      </x:c>
      <x:c r="I18" s="2298" t="str">
        <x:v>The statutory exclusion for drugs used for sexual dysfunction applies to HSDD treatment under basic Part D. FDA approval or label expansion does not itself create Medicare reimbursement. A reviewed employer supplemental formulary lists Addyi.</x:v>
      </x:c>
      <x:c r="J18" s="2298" t="str">
        <x:v>Compare with sildenafil for erectile dysfunction under the same statutory exclusion, while recognizing different mechanisms and clinical endpoints.</x:v>
      </x:c>
      <x:c r="K18" s="2298" t="str">
        <x:v>Women face a coverage gap, but the basic statutory exclusion also reaches male erectile-dysfunction drugs. Unequal supplemental coverage remains an empirical question.</x:v>
      </x:c>
      <x:c r="L18" s="2298" t="str">
        <x:v>Federal statute; FDA label; systematic review and meta-analysis</x:v>
      </x:c>
      <x:c r="M18" s="2298" t="str">
        <x:v>Meta-analysis found small average benefit and increased adverse events; individual benefit varies. Most age-eligible Medicare beneficiaries are outside the approved age range, while younger disabled beneficiaries may qualify clinically.</x:v>
      </x:c>
      <x:c r="N18" s="2298" t="str">
        <x:v>Which supplemental plans cover each sexual-health treatment, and with what cost sharing?</x:v>
      </x:c>
      <x:c r="O18" s="2298" t="str">
        <x:v>L-D07</x:v>
      </x:c>
      <x:c r="P18" s="2299" t="n">
        <x:v>46281.5</x:v>
      </x:c>
      <x:c r="Q18" s="2294" t="str"/>
      <x:c r="R18" s="2301" t="str">
        <x:v>https://www.ssa.gov/OP_Home/ssact/title18/1860D-02.htm</x:v>
      </x:c>
      <x:c r="S18" s="2301" t="str">
        <x:v>https://www.accessdata.fda.gov/drugsatfda_docs/label/2025/022526s013lbl.pdf</x:v>
      </x:c>
      <x:c r="T18" s="2307" t="str"/>
      <x:c r="U18" s="2302" t="str">
        <x:v>Shared body systems / functions</x:v>
      </x:c>
      <x:c r="V18" s="2302" t="str">
        <x:v>Sexual desire is shared; recorded drug indication is for women</x:v>
      </x:c>
      <x:c r="W18" s="2302" t="str">
        <x:v>Assess access for women meeting the clinical indication, alternatives and consistency of sexual-health benefit rules. Do not require an off-label male comparator.</x:v>
      </x:c>
      <x:c r="X18" s="2302" t="str">
        <x:v>A women-specific labeled population is not an exclusive anatomical structure. Preserve formulation and label-year limits.</x:v>
      </x:c>
    </x:row>
    <x:row r="19" ht="117" customHeight="1">
      <x:c r="A19" s="2292" t="str">
        <x:v>D11</x:v>
      </x:c>
      <x:c r="B19" s="2292" t="str">
        <x:v>Bremelanotide (Vyleesi) for HSDD</x:v>
      </x:c>
      <x:c r="C19" s="2304" t="str">
        <x:v>Excluded for this use</x:v>
      </x:c>
      <x:c r="D19" s="2292" t="str">
        <x:v>Part D</x:v>
      </x:c>
      <x:c r="E19" s="2292" t="str">
        <x:v>Acquired, generalized hypoactive sexual desire disorder</x:v>
      </x:c>
      <x:c r="F19" s="2292" t="str">
        <x:v>Premenopausal women meeting the labeled indication</x:v>
      </x:c>
      <x:c r="G19" s="2292" t="str">
        <x:v>Sexual health</x:v>
      </x:c>
      <x:c r="H19" s="2292" t="str">
        <x:v>Nationwide basic Part D statutory rule; current labeling remains limited to premenopausal women.</x:v>
      </x:c>
      <x:c r="I19" s="2292" t="str">
        <x:v>Basic Part D excludes drugs used for sexual dysfunction. FDA approval of bremelanotide does not override that exclusion; a supplemental benefit would require separate verification.</x:v>
      </x:c>
      <x:c r="J19" s="2292" t="str">
        <x:v>Compare with flibanserin and erectile-dysfunction drugs; avoid treating all sexual symptoms as the same disease.</x:v>
      </x:c>
      <x:c r="K19" s="2292" t="str">
        <x:v>Exclusion affects younger Medicare beneficiaries who meet the indication; the statute is not a female-only exclusion.</x:v>
      </x:c>
      <x:c r="L19" s="2292" t="str">
        <x:v>Federal statute; current drug label; two randomized phase 3 trials</x:v>
      </x:c>
      <x:c r="M19" s="2292" t="str">
        <x:v>Trial participants were predominantly White, with a mean age of 39. Desire and distress improved; adverse effects and limited older-population evidence matter for interpretation.</x:v>
      </x:c>
      <x:c r="N19" s="2292" t="str">
        <x:v>Do disabled premenopausal beneficiaries have access through supplemental benefits or other programs?</x:v>
      </x:c>
      <x:c r="O19" s="2292" t="str">
        <x:v>L-D08</x:v>
      </x:c>
      <x:c r="P19" s="2293" t="n">
        <x:v>46281.5</x:v>
      </x:c>
      <x:c r="Q19" s="2294" t="str"/>
      <x:c r="R19" s="2295" t="str">
        <x:v>https://www.ssa.gov/OP_Home/ssact/title18/1860D-02.htm</x:v>
      </x:c>
      <x:c r="S19" s="2295" t="str">
        <x:v>https://dailymed.nlm.nih.gov/dailymed/drugInfo.cfm?setid=f1d0c1b5-2f39-4bad-a6a4-0066e3ad5dcf</x:v>
      </x:c>
      <x:c r="T19" s="2307" t="str"/>
      <x:c r="U19" s="2296" t="str">
        <x:v>Shared body systems / functions</x:v>
      </x:c>
      <x:c r="V19" s="2296" t="str">
        <x:v>Sexual desire is shared; recorded drug indication is for women</x:v>
      </x:c>
      <x:c r="W19" s="2296" t="str">
        <x:v>Assess access for women meeting the clinical indication, alternatives and consistency of sexual-health benefit rules. Do not require an off-label male comparator.</x:v>
      </x:c>
      <x:c r="X19" s="2296" t="str">
        <x:v>Separate sex-defined drug eligibility from anatomy, clinical benefit and the sexual-dysfunction benefit exclusion.</x:v>
      </x:c>
    </x:row>
    <x:row r="20" ht="117" customHeight="1">
      <x:c r="A20" s="2298" t="str">
        <x:v>D12</x:v>
      </x:c>
      <x:c r="B20" s="2298" t="str">
        <x:v>Prescription testosterone for documented hypogonadism</x:v>
      </x:c>
      <x:c r="C20" s="2297" t="str">
        <x:v>Covered with conditions</x:v>
      </x:c>
      <x:c r="D20" s="2298" t="str">
        <x:v>Part D</x:v>
      </x:c>
      <x:c r="E20" s="2298" t="str">
        <x:v>Testosterone deficiency due to an underlying medical condition</x:v>
      </x:c>
      <x:c r="F20" s="2298" t="str">
        <x:v>Men with documented hypogonadism</x:v>
      </x:c>
      <x:c r="G20" s="2298" t="str">
        <x:v>Hormone replacement</x:v>
      </x:c>
      <x:c r="H20" s="2298" t="str">
        <x:v>CMS August 2026 snapshot; selected plan September 1, 2026, printed page 62.</x:v>
      </x:c>
      <x:c r="I20" s="2298" t="str">
        <x:v>Testosterone is broadly listed, often with prior authorization. Selected Blue Medicare formulations require prior authorization and some quantity limits. Coverage for replacement must not be conflated with erectile-dysfunction treatment or automatic coverage of age-related low testosterone.</x:v>
      </x:c>
      <x:c r="J20" s="2298" t="str">
        <x:v>A useful hormone-replacement comparator for estrogen only after accounting for diagnosis, route, baseline risk, required monitoring, and age.</x:v>
      </x:c>
      <x:c r="K20" s="2298" t="str">
        <x:v>Testosterone faces substantial prior-authorization restrictions, providing counterevidence to a claim of uniformly easy access for male hormones.</x:v>
      </x:c>
      <x:c r="L20" s="2298" t="str">
        <x:v>National formulary analysis; plan policy; randomized safety trial</x:v>
      </x:c>
      <x:c r="M20" s="2298" t="str">
        <x:v>TRAVERSE studied selected men with low testosterone and cardiovascular risk; it does not establish safety or coverage for all ages, indications, or formulations. FDA labeling developments require product-specific review.</x:v>
      </x:c>
      <x:c r="N20" s="2298" t="str">
        <x:v>How do indication-matched denials, monitoring demands, and patient costs compare with menopausal therapy?</x:v>
      </x:c>
      <x:c r="O20" s="2298" t="str">
        <x:v>L-D09</x:v>
      </x:c>
      <x:c r="P20" s="2299" t="n">
        <x:v>46281.5</x:v>
      </x:c>
      <x:c r="Q20" s="2294" t="str"/>
      <x:c r="R20" s="2301" t="str">
        <x:v>https://www.myprime.com/content/dam/prime/memberportal/WebDocs/2026/Formularies/MedD/2026%20Blue%20Medicare%20Essential%20Plus%20%28HMO-POS%29%20Formulary.pdf</x:v>
      </x:c>
      <x:c r="S20" s="2301" t="str">
        <x:v>https://www.fda.gov/drugs/postmarket-drug-safety-information-patients-and-providers/testosterone-information</x:v>
      </x:c>
      <x:c r="T20" s="2307" t="str"/>
      <x:c r="U20" s="2302" t="str">
        <x:v>Male reproductive physiology</x:v>
      </x:c>
      <x:c r="V20" s="2302" t="str">
        <x:v>Documented male hypogonadism indication</x:v>
      </x:c>
      <x:c r="W20" s="2302" t="str">
        <x:v>Compare access for documented indications, accounting for diagnostic thresholds, benefit, alternatives, monitoring and treatment risks.</x:v>
      </x:c>
      <x:c r="X20" s="2302" t="str">
        <x:v>Testosterone and endocrine pathways are not exclusive to men. Classification applies only to this recorded indication.</x:v>
      </x:c>
    </x:row>
    <x:row r="21" ht="117" customHeight="1">
      <x:c r="A21" s="2292" t="str">
        <x:v>P01</x:v>
      </x:c>
      <x:c r="B21" s="2292" t="str">
        <x:v>Male and female incontinence sling placement</x:v>
      </x:c>
      <x:c r="C21" s="2305" t="str">
        <x:v>Not established</x:v>
      </x:c>
      <x:c r="D21" s="2292" t="str">
        <x:v>A/B by setting</x:v>
      </x:c>
      <x:c r="E21" s="2292" t="str">
        <x:v>Documented stress urinary incontinence</x:v>
      </x:c>
      <x:c r="F21" s="2292" t="str">
        <x:v>Patients with male or female pelvic anatomy</x:v>
      </x:c>
      <x:c r="G21" s="2292" t="str">
        <x:v>Procedure valuation / incontinence</x:v>
      </x:c>
      <x:c r="H21" s="2292" t="str">
        <x:v>National general surgical benefit; individual coverage verification needed</x:v>
      </x:c>
      <x:c r="I21" s="2292" t="str">
        <x:v>General Medicare coverage includes medically necessary surgery. This review did not establish code-specific nationwide sling coverage; a published RVU is not approval.</x:v>
      </x:c>
      <x:c r="J21" s="2292" t="str">
        <x:v>CPT 53440 versus 57288; both 90-day global periods</x:v>
      </x:c>
      <x:c r="K21" s="2292" t="str">
        <x:v>July 2026 work RVUs: male 13.03, female 11.83. Physician facility total RVUs: 20.40 versus 19.87.</x:v>
      </x:c>
      <x:c r="L21" s="2292" t="str">
        <x:v>Published analogous pair plus direct CMS schedule extraction</x:v>
      </x:c>
      <x:c r="M21" s="2292" t="str">
        <x:v>Matched global periods do not prove equal operating time or total work. Not a causal bias estimate.</x:v>
      </x:c>
      <x:c r="N21" s="2292" t="str">
        <x:v>Which indication, prior treatments, procedure code and contractor apply?</x:v>
      </x:c>
      <x:c r="O21" s="2292" t="str">
        <x:v>L-P01, L-P02, L-P03</x:v>
      </x:c>
      <x:c r="P21" s="2293" t="n">
        <x:v>46281.5</x:v>
      </x:c>
      <x:c r="Q21" s="2294" t="str"/>
      <x:c r="R21" s="2295" t="str">
        <x:v>https://www.medicare.gov/coverage/surgery</x:v>
      </x:c>
      <x:c r="S21" s="2295" t="str"/>
      <x:c r="T21" s="2307" t="str"/>
      <x:c r="U21" s="2296" t="str">
        <x:v>Mixed or site-dependent</x:v>
      </x:c>
      <x:c r="V21" s="2296" t="str">
        <x:v>Shared incontinence indication; male/female surgical components</x:v>
      </x:c>
      <x:c r="W21" s="2296" t="str">
        <x:v>Separate diagnosis, organ/site and procedure components before estimating sex comparisons. Do not assign the entire row to one sex.</x:v>
      </x:c>
      <x:c r="X21" s="2296" t="str">
        <x:v>Sex-adapted sling procedures are bundled. Compare their individual codes and clinical resources; a shared symptom does not make operations identical.</x:v>
      </x:c>
    </x:row>
    <x:row r="22" ht="117" customHeight="1">
      <x:c r="A22" s="2298" t="str">
        <x:v>P02</x:v>
      </x:c>
      <x:c r="B22" s="2298" t="str">
        <x:v>Male and female sling revision or removal</x:v>
      </x:c>
      <x:c r="C22" s="2305" t="str">
        <x:v>Not established</x:v>
      </x:c>
      <x:c r="D22" s="2298" t="str">
        <x:v>A/B by setting</x:v>
      </x:c>
      <x:c r="E22" s="2298" t="str">
        <x:v>Clinically indicated correction/removal of an existing sling</x:v>
      </x:c>
      <x:c r="F22" s="2298" t="str">
        <x:v>Patients with prior incontinence slings</x:v>
      </x:c>
      <x:c r="G22" s="2298" t="str">
        <x:v>Procedure valuation / incontinence</x:v>
      </x:c>
      <x:c r="H22" s="2298" t="str">
        <x:v>National general surgical benefit; specific coverage unresolved</x:v>
      </x:c>
      <x:c r="I22" s="2298" t="str">
        <x:v>General surgical coverage requires medical necessity. No universal code-specific approval was established; verify the complication, coding, setting and contractor.</x:v>
      </x:c>
      <x:c r="J22" s="2298" t="str">
        <x:v>CPT 53442 versus 57287; both 90-day global periods</x:v>
      </x:c>
      <x:c r="K22" s="2298" t="str">
        <x:v>July 2026 work RVUs: male 13.15, female 10.87. Physician facility total RVUs: 21.45 versus 19.76.</x:v>
      </x:c>
      <x:c r="L22" s="2298" t="str">
        <x:v>Published analogous pair plus direct CMS schedule extraction</x:v>
      </x:c>
      <x:c r="M22" s="2298" t="str">
        <x:v>Comparability derives from the authors; equal global days alone do not establish equal resource use.</x:v>
      </x:c>
      <x:c r="N22" s="2298" t="str">
        <x:v>Is removal or revision necessary for a documented complication?</x:v>
      </x:c>
      <x:c r="O22" s="2298" t="str">
        <x:v>L-P01, L-P02, L-P06</x:v>
      </x:c>
      <x:c r="P22" s="2299" t="n">
        <x:v>46281.5</x:v>
      </x:c>
      <x:c r="Q22" s="2294" t="str"/>
      <x:c r="R22" s="2301" t="str">
        <x:v>https://www.medicare.gov/coverage/surgery</x:v>
      </x:c>
      <x:c r="S22" s="2301" t="str"/>
      <x:c r="T22" s="2307" t="str"/>
      <x:c r="U22" s="2302" t="str">
        <x:v>Mixed or site-dependent</x:v>
      </x:c>
      <x:c r="V22" s="2302" t="str">
        <x:v>Shared incontinence pathway; male/female surgical components</x:v>
      </x:c>
      <x:c r="W22" s="2302" t="str">
        <x:v>Separate diagnosis, organ/site and procedure components before estimating sex comparisons. Do not assign the entire row to one sex.</x:v>
      </x:c>
      <x:c r="X22" s="2302" t="str">
        <x:v>Separate sling revision/removal codes, technique and complexity before comparing payment.</x:v>
      </x:c>
    </x:row>
    <x:row r="23" ht="117" customHeight="1">
      <x:c r="A23" s="2292" t="str">
        <x:v>P03</x:v>
      </x:c>
      <x:c r="B23" s="2292" t="str">
        <x:v>Reconstruction after medically necessary mastectomy</x:v>
      </x:c>
      <x:c r="C23" s="2297" t="str">
        <x:v>Covered with conditions</x:v>
      </x:c>
      <x:c r="D23" s="2292" t="str">
        <x:v>A/B by setting</x:v>
      </x:c>
      <x:c r="E23" s="2292" t="str">
        <x:v>Restore affected breast and contralateral symmetry</x:v>
      </x:c>
      <x:c r="F23" s="2292" t="str">
        <x:v>People undergoing medically necessary mastectomy</x:v>
      </x:c>
      <x:c r="G23" s="2292" t="str">
        <x:v>Breast surgery</x:v>
      </x:c>
      <x:c r="H23" s="2292" t="str">
        <x:v>National NCD 140.2</x:v>
      </x:c>
      <x:c r="I23" s="2292" t="str">
        <x:v>NCD 140.2 permits reconstruction of the affected and opposite breast after medically necessary mastectomy for any medical reason.</x:v>
      </x:c>
      <x:c r="J23" s="2292" t="str">
        <x:v>Implant-based versus autologous reconstruction; not male versus female</x:v>
      </x:c>
      <x:c r="K23" s="2292" t="str">
        <x:v>Two 2026 studies document unequal hourly valuation and declining inflation-adjusted breast-procedure payments.</x:v>
      </x:c>
      <x:c r="L23" s="2292" t="str">
        <x:v>National coverage plus empirical procedure-payment studies</x:v>
      </x:c>
      <x:c r="M23" s="2292" t="str">
        <x:v>Within-breast-procedure comparisons do not establish a patient-sex payment effect.</x:v>
      </x:c>
      <x:c r="N23" s="2292" t="str">
        <x:v>Which reconstruction method and setting are medically appropriate?</x:v>
      </x:c>
      <x:c r="O23" s="2292" t="str">
        <x:v>L-P07, L-P08, L-P09</x:v>
      </x:c>
      <x:c r="P23" s="2293" t="n">
        <x:v>46281.5</x:v>
      </x:c>
      <x:c r="Q23" s="2294" t="str"/>
      <x:c r="R23" s="2295" t="str">
        <x:v>https://www.cms.gov/medicare-coverage-database/view/ncd.aspx?ncdid=64</x:v>
      </x:c>
      <x:c r="S23" s="2295" t="str"/>
      <x:c r="T23" s="2307" t="str"/>
      <x:c r="U23" s="2296" t="str">
        <x:v>Shared body systems / functions</x:v>
      </x:c>
      <x:c r="V23" s="2296" t="str">
        <x:v>Breast anatomy is shared; indication is postmastectomy reconstruction</x:v>
      </x:c>
      <x:c r="W23" s="2296" t="str">
        <x:v>Compare women and men with comparable clinical need, including unmet care, within the same condition and service. Assess clinical eligibility independently of reimbursement rules.</x:v>
      </x:c>
      <x:c r="X23" s="2296" t="str">
        <x:v>Do not equate a predominantly female literature sample with exclusively female anatomy. Clinical guidance: C-001 (bibliography).</x:v>
      </x:c>
    </x:row>
    <x:row r="24" ht="117" customHeight="1">
      <x:c r="A24" s="2298" t="str">
        <x:v>P04</x:v>
      </x:c>
      <x:c r="B24" s="2298" t="str">
        <x:v>External breast prosthesis and postsurgical bra</x:v>
      </x:c>
      <x:c r="C24" s="2297" t="str">
        <x:v>Covered with conditions</x:v>
      </x:c>
      <x:c r="D24" s="2298" t="str">
        <x:v>B</x:v>
      </x:c>
      <x:c r="E24" s="2298" t="str">
        <x:v>Replace breast contour after mastectomy</x:v>
      </x:c>
      <x:c r="F24" s="2298" t="str">
        <x:v>People after mastectomy</x:v>
      </x:c>
      <x:c r="G24" s="2298" t="str">
        <x:v>Breast prostheses</x:v>
      </x:c>
      <x:c r="H24" s="2298" t="str">
        <x:v>National Medicare benefit</x:v>
      </x:c>
      <x:c r="I24" s="2298" t="str">
        <x:v>Part B covers some external breast prostheses, including a postsurgical bra, after mastectomy. Supplier and item requirements apply.</x:v>
      </x:c>
      <x:c r="J24" s="2298" t="str">
        <x:v>External prosthesis versus surgically implanted reconstruction</x:v>
      </x:c>
      <x:c r="K24" s="2298" t="str">
        <x:v>No direct male/female Medicare denial or payment comparison identified for this item.</x:v>
      </x:c>
      <x:c r="L24" s="2298" t="str">
        <x:v>National coverage policy; disparity evidence gap</x:v>
      </x:c>
      <x:c r="M24" s="2298" t="str">
        <x:v>Coverage of some prostheses does not establish eligibility for every product or replacement frequency.</x:v>
      </x:c>
      <x:c r="N24" s="2298" t="str">
        <x:v>Does the ordered item meet supplier, documentation and replacement requirements?</x:v>
      </x:c>
      <x:c r="O24" s="2298" t="str"/>
      <x:c r="P24" s="2299" t="n">
        <x:v>46281.5</x:v>
      </x:c>
      <x:c r="Q24" s="2294" t="str"/>
      <x:c r="R24" s="2301" t="str">
        <x:v>https://www.medicare.gov/coverage/breast-prostheses</x:v>
      </x:c>
      <x:c r="S24" s="2301" t="str"/>
      <x:c r="T24" s="2307" t="str"/>
      <x:c r="U24" s="2302" t="str">
        <x:v>Shared body systems / functions</x:v>
      </x:c>
      <x:c r="V24" s="2302" t="str">
        <x:v>Breast anatomy is shared; postmastectomy indication</x:v>
      </x:c>
      <x:c r="W24" s="2302" t="str">
        <x:v>Compare women and men with comparable clinical need, including unmet care, within the same condition and service. Assess clinical eligibility independently of reimbursement rules.</x:v>
      </x:c>
      <x:c r="X24" s="2302" t="str">
        <x:v>Record the population actually studied and the benefit rule separately from organ classification. Clinical guidance: C-001 (bibliography).</x:v>
      </x:c>
    </x:row>
    <x:row r="25" ht="117" customHeight="1">
      <x:c r="A25" s="2292" t="str">
        <x:v>P05</x:v>
      </x:c>
      <x:c r="B25" s="2292" t="str">
        <x:v>Breast reconstruction solely for cosmetic reasons</x:v>
      </x:c>
      <x:c r="C25" s="2304" t="str">
        <x:v>Excluded for this use</x:v>
      </x:c>
      <x:c r="D25" s="2292" t="str">
        <x:v>A/B</x:v>
      </x:c>
      <x:c r="E25" s="2292" t="str">
        <x:v>Appearance change without qualifying medical reconstruction</x:v>
      </x:c>
      <x:c r="F25" s="2292" t="str">
        <x:v>Any sex</x:v>
      </x:c>
      <x:c r="G25" s="2292" t="str">
        <x:v>Breast surgery</x:v>
      </x:c>
      <x:c r="H25" s="2292" t="str">
        <x:v>National NCD 140.2</x:v>
      </x:c>
      <x:c r="I25" s="2292" t="str">
        <x:v>NCD 140.2 excludes reconstruction performed solely for cosmetic reasons.</x:v>
      </x:c>
      <x:c r="J25" s="2292" t="str">
        <x:v>Cosmetic purpose versus postmastectomy medical reconstruction</x:v>
      </x:c>
      <x:c r="K25" s="2292" t="str">
        <x:v>Purpose-based coverage distinction; not proof of a sex-based exclusion.</x:v>
      </x:c>
      <x:c r="L25" s="2292" t="str">
        <x:v>Explicit national exclusion</x:v>
      </x:c>
      <x:c r="M25" s="2292" t="str">
        <x:v>Do not apply this label to medically necessary postmastectomy reconstruction.</x:v>
      </x:c>
      <x:c r="N25" s="2292" t="str">
        <x:v>Is the documented purpose cosmetic or medically reconstructive?</x:v>
      </x:c>
      <x:c r="O25" s="2292" t="str"/>
      <x:c r="P25" s="2293" t="n">
        <x:v>46281.5</x:v>
      </x:c>
      <x:c r="Q25" s="2294" t="str"/>
      <x:c r="R25" s="2295" t="str">
        <x:v>https://www.cms.gov/medicare-coverage-database/view/ncd.aspx?ncdid=64</x:v>
      </x:c>
      <x:c r="S25" s="2295" t="str"/>
      <x:c r="T25" s="2307" t="str"/>
      <x:c r="U25" s="2296" t="str">
        <x:v>Shared body systems / functions</x:v>
      </x:c>
      <x:c r="V25" s="2296" t="str">
        <x:v>Breast anatomy is shared; cosmetic indication</x:v>
      </x:c>
      <x:c r="W25" s="2296" t="str">
        <x:v>Compare women and men with comparable clinical need, including unmet care, within the same condition and service. Assess clinical eligibility independently of reimbursement rules.</x:v>
      </x:c>
      <x:c r="X25" s="2296" t="str">
        <x:v>The distinction from medically necessary reconstruction is purpose and benefit eligibility, not sex alone. Clinical guidance: C-001 (bibliography).</x:v>
      </x:c>
    </x:row>
    <x:row r="26" ht="117" customHeight="1">
      <x:c r="A26" s="2298" t="str">
        <x:v>P06</x:v>
      </x:c>
      <x:c r="B26" s="2298" t="str">
        <x:v>Surgery for symptomatic gynecomastia</x:v>
      </x:c>
      <x:c r="C26" s="2306" t="str">
        <x:v>Local decision</x:v>
      </x:c>
      <x:c r="D26" s="2298" t="str">
        <x:v>A/B by setting</x:v>
      </x:c>
      <x:c r="E26" s="2298" t="str">
        <x:v>Persistent glandular enlargement causing significant symptoms</x:v>
      </x:c>
      <x:c r="F26" s="2298" t="str">
        <x:v>Male patients</x:v>
      </x:c>
      <x:c r="G26" s="2298" t="str">
        <x:v>Breast surgery</x:v>
      </x:c>
      <x:c r="H26" s="2298" t="str">
        <x:v>First Coast LCD L38914: Florida, Puerto Rico, US Virgin Islands; not nationwide</x:v>
      </x:c>
      <x:c r="I26" s="2298" t="str">
        <x:v>First Coast permits qualifying reconstructive surgery after specified evaluation/conservative treatment; cosmetic-only surgery and surgery as first-line treatment are excluded.</x:v>
      </x:c>
      <x:c r="J26" s="2298" t="str">
        <x:v>Symptomatic gynecomastia versus cosmetic chest contouring</x:v>
      </x:c>
      <x:c r="K26" s="2298" t="str">
        <x:v>Policy allows medically necessary male breast surgery; no matched denial-rate comparison identified.</x:v>
      </x:c>
      <x:c r="L26" s="2298" t="str">
        <x:v>Current local coverage policy</x:v>
      </x:c>
      <x:c r="M26" s="2298" t="str">
        <x:v>Other jurisdictions may use different documentation criteria.</x:v>
      </x:c>
      <x:c r="N26" s="2298" t="str">
        <x:v>Are glandular disease, persistence, functional symptoms and prior treatment documented?</x:v>
      </x:c>
      <x:c r="O26" s="2298" t="str"/>
      <x:c r="P26" s="2299" t="n">
        <x:v>46281.5</x:v>
      </x:c>
      <x:c r="Q26" s="2294" t="str"/>
      <x:c r="R26" s="2301" t="str">
        <x:v>https://www.cms.gov/medicare-coverage-database/view/lcd.aspx?LCDId=38914</x:v>
      </x:c>
      <x:c r="S26" s="2301" t="str"/>
      <x:c r="T26" s="2307" t="str"/>
      <x:c r="U26" s="2302" t="str">
        <x:v>Shared body systems / functions</x:v>
      </x:c>
      <x:c r="V26" s="2302" t="str">
        <x:v>Shared breast tissue; gynecomastia indication concerns men</x:v>
      </x:c>
      <x:c r="W26" s="2302" t="str">
        <x:v>Compare women and men with comparable clinical need, including unmet care, within the same condition and service. Assess clinical eligibility independently of reimbursement rules.</x:v>
      </x:c>
      <x:c r="X26" s="2302" t="str">
        <x:v>A male-associated diagnosis does not make breast tissue male-exclusive. Clinical guidance: C-001 (bibliography).</x:v>
      </x:c>
    </x:row>
    <x:row r="27" ht="117" customHeight="1">
      <x:c r="A27" s="2292" t="str">
        <x:v>P07</x:v>
      </x:c>
      <x:c r="B27" s="2292" t="str">
        <x:v>Reduction mammoplasty for symptomatic breast enlargement</x:v>
      </x:c>
      <x:c r="C27" s="2306" t="str">
        <x:v>Local decision</x:v>
      </x:c>
      <x:c r="D27" s="2292" t="str">
        <x:v>A/B by setting</x:v>
      </x:c>
      <x:c r="E27" s="2292" t="str">
        <x:v>Functional symptoms attributable to enlarged breasts</x:v>
      </x:c>
      <x:c r="F27" s="2292" t="str">
        <x:v>Predominantly female patients; indication determines eligibility</x:v>
      </x:c>
      <x:c r="G27" s="2292" t="str">
        <x:v>Breast surgery</x:v>
      </x:c>
      <x:c r="H27" s="2292" t="str">
        <x:v>First Coast LCD L38914: Florida, Puerto Rico, US Virgin Islands; not nationwide</x:v>
      </x:c>
      <x:c r="I27" s="2292" t="str">
        <x:v>First Coast distinguishes medically necessary reduction from appearance-only surgery; qualifying symptoms and local documentation requirements apply.</x:v>
      </x:c>
      <x:c r="J27" s="2292" t="str">
        <x:v>Therapeutic reduction versus cosmetic reshaping</x:v>
      </x:c>
      <x:c r="K27" s="2292" t="str">
        <x:v>2026 analysis found inflation-adjusted payments declined across all six studied breast procedures, including reduction.</x:v>
      </x:c>
      <x:c r="L27" s="2292" t="str">
        <x:v>Local coverage plus longitudinal Medicare fee analysis</x:v>
      </x:c>
      <x:c r="M27" s="2292" t="str">
        <x:v>Payment erosion within breast surgery does not prove sex discrimination; study lacks male comparator.</x:v>
      </x:c>
      <x:c r="N27" s="2292" t="str">
        <x:v>Does the applicable contractor find the functional indication adequately supported?</x:v>
      </x:c>
      <x:c r="O27" s="2292" t="str">
        <x:v>L-P08</x:v>
      </x:c>
      <x:c r="P27" s="2293" t="n">
        <x:v>46281.5</x:v>
      </x:c>
      <x:c r="Q27" s="2294" t="str"/>
      <x:c r="R27" s="2295" t="str">
        <x:v>https://www.cms.gov/medicare-coverage-database/view/lcd.aspx?LCDId=38914</x:v>
      </x:c>
      <x:c r="S27" s="2295" t="str"/>
      <x:c r="T27" s="2307" t="str"/>
      <x:c r="U27" s="2296" t="str">
        <x:v>Shared body systems / functions</x:v>
      </x:c>
      <x:c r="V27" s="2296" t="str">
        <x:v>Shared breast tissue; symptom-defined indication</x:v>
      </x:c>
      <x:c r="W27" s="2296" t="str">
        <x:v>Compare women and men with comparable clinical need, including unmet care, within the same condition and service. Assess clinical eligibility independently of reimbursement rules.</x:v>
      </x:c>
      <x:c r="X27" s="2296" t="str">
        <x:v>Preserve symptom burden, clinical indication and actual patient population rather than assuming a women-only service. Clinical guidance: C-001 (bibliography).</x:v>
      </x:c>
    </x:row>
    <x:row r="28" ht="117" customHeight="1">
      <x:c r="A28" s="2298" t="str">
        <x:v>P08</x:v>
      </x:c>
      <x:c r="B28" s="2298" t="str">
        <x:v>Clinician-provided biofeedback-assisted pelvic exercises</x:v>
      </x:c>
      <x:c r="C28" s="2297" t="str">
        <x:v>Covered with conditions</x:v>
      </x:c>
      <x:c r="D28" s="2298" t="str">
        <x:v>B</x:v>
      </x:c>
      <x:c r="E28" s="2298" t="str">
        <x:v>Stress or urge urinary incontinence after unsuccessful exercise trial</x:v>
      </x:c>
      <x:c r="F28" s="2298" t="str">
        <x:v>Cognitively intact patients of any sex</x:v>
      </x:c>
      <x:c r="G28" s="2298" t="str">
        <x:v>Pelvic floor / incontinence</x:v>
      </x:c>
      <x:c r="H28" s="2298" t="str">
        <x:v>National NCD 30.1.1</x:v>
      </x:c>
      <x:c r="I28" s="2298" t="str">
        <x:v>NCD 30.1.1 covers practitioner-delivered biofeedback after four weeks of ordered pelvic exercises without significant improvement. First-line use remains contractor discretion.</x:v>
      </x:c>
      <x:c r="J28" s="2298" t="str">
        <x:v>Same national eligibility rule across sexes</x:v>
      </x:c>
      <x:c r="K28" s="2298" t="str">
        <x:v>No direct sex-specific Medicare coverage disparity established here.</x:v>
      </x:c>
      <x:c r="L28" s="2298" t="str">
        <x:v>Explicit national conditional coverage</x:v>
      </x:c>
      <x:c r="M28" s="2298" t="str">
        <x:v>This policy addresses incontinence, not every pelvic pain diagnosis or device.</x:v>
      </x:c>
      <x:c r="N28" s="2298" t="str">
        <x:v>Is a failed four-week exercise program documented?</x:v>
      </x:c>
      <x:c r="O28" s="2298" t="str"/>
      <x:c r="P28" s="2299" t="n">
        <x:v>46281.5</x:v>
      </x:c>
      <x:c r="Q28" s="2294" t="str"/>
      <x:c r="R28" s="2301" t="str">
        <x:v>https://www.cms.gov/medicare-coverage-database/view/ncd.aspx?ncdid=42</x:v>
      </x:c>
      <x:c r="S28" s="2301" t="str"/>
      <x:c r="T28" s="2307" t="str"/>
      <x:c r="U28" s="2302" t="str">
        <x:v>Shared body systems / functions</x:v>
      </x:c>
      <x:c r="V28" s="2302" t="str">
        <x:v>Pelvic-floor and continence function in both sexes</x:v>
      </x:c>
      <x:c r="W28" s="2302" t="str">
        <x:v>Compare women and men with comparable clinical need, including unmet care, within the same condition and service. Assess clinical eligibility independently of reimbursement rules.</x:v>
      </x:c>
      <x:c r="X28" s="2302" t="str">
        <x:v>Compare eligibility and response within matched indications; exercises may be adapted to anatomy. Clinical guidance: C-003 (bibliography).</x:v>
      </x:c>
    </x:row>
    <x:row r="29" ht="117" customHeight="1">
      <x:c r="A29" s="2292" t="str">
        <x:v>P09</x:v>
      </x:c>
      <x:c r="B29" s="2292" t="str">
        <x:v>Home biofeedback for urinary incontinence</x:v>
      </x:c>
      <x:c r="C29" s="2304" t="str">
        <x:v>Excluded for this use</x:v>
      </x:c>
      <x:c r="D29" s="2292" t="str">
        <x:v>B</x:v>
      </x:c>
      <x:c r="E29" s="2292" t="str">
        <x:v>Self-administered biofeedback at home</x:v>
      </x:c>
      <x:c r="F29" s="2292" t="str">
        <x:v>Patients of any sex</x:v>
      </x:c>
      <x:c r="G29" s="2292" t="str">
        <x:v>Pelvic floor / incontinence</x:v>
      </x:c>
      <x:c r="H29" s="2292" t="str">
        <x:v>National NCD 30.1.1</x:v>
      </x:c>
      <x:c r="I29" s="2292" t="str">
        <x:v>NCD 30.1.1 explicitly excludes home biofeedback therapy.</x:v>
      </x:c>
      <x:c r="J29" s="2292" t="str">
        <x:v>Home use versus practitioner-delivered biofeedback</x:v>
      </x:c>
      <x:c r="K29" s="2292" t="str">
        <x:v>Explicit setting-related exclusion affects both sexes.</x:v>
      </x:c>
      <x:c r="L29" s="2292" t="str">
        <x:v>Explicit national exclusion</x:v>
      </x:c>
      <x:c r="M29" s="2292" t="str">
        <x:v>Do not confuse biofeedback with covered nonimplantable pelvic electrical stimulation.</x:v>
      </x:c>
      <x:c r="N29" s="2292" t="str">
        <x:v>Is the requested product biofeedback or electrical stimulation?</x:v>
      </x:c>
      <x:c r="O29" s="2292" t="str"/>
      <x:c r="P29" s="2293" t="n">
        <x:v>46281.5</x:v>
      </x:c>
      <x:c r="Q29" s="2294" t="str"/>
      <x:c r="R29" s="2295" t="str">
        <x:v>https://www.cms.gov/medicare-coverage-database/view/ncd.aspx?ncdid=42</x:v>
      </x:c>
      <x:c r="S29" s="2295" t="str"/>
      <x:c r="T29" s="2307" t="str"/>
      <x:c r="U29" s="2296" t="str">
        <x:v>Shared body systems / functions</x:v>
      </x:c>
      <x:c r="V29" s="2296" t="str">
        <x:v>Pelvic-floor and continence function in both sexes</x:v>
      </x:c>
      <x:c r="W29" s="2296" t="str">
        <x:v>Compare women and men with comparable clinical need, including unmet care, within the same condition and service. Assess clinical eligibility independently of reimbursement rules.</x:v>
      </x:c>
      <x:c r="X29" s="2296" t="str">
        <x:v>Home versus clinician-delivered treatment is a benefit-setting distinction. Clinical guidance: C-003 (bibliography).</x:v>
      </x:c>
    </x:row>
    <x:row r="30" ht="117" customHeight="1">
      <x:c r="A30" s="2298" t="str">
        <x:v>P10</x:v>
      </x:c>
      <x:c r="B30" s="2298" t="str">
        <x:v>Sacral nerve stimulation</x:v>
      </x:c>
      <x:c r="C30" s="2297" t="str">
        <x:v>Covered with conditions</x:v>
      </x:c>
      <x:c r="D30" s="2298" t="str">
        <x:v>A/B by setting</x:v>
      </x:c>
      <x:c r="E30" s="2298" t="str">
        <x:v>Refractory urgency incontinence, urgency-frequency or retention</x:v>
      </x:c>
      <x:c r="F30" s="2298" t="str">
        <x:v>Eligible patients of any sex</x:v>
      </x:c>
      <x:c r="G30" s="2298" t="str">
        <x:v>Pelvic floor / incontinence</x:v>
      </x:c>
      <x:c r="H30" s="2298" t="str">
        <x:v>National NCD 230.18</x:v>
      </x:c>
      <x:c r="I30" s="2298" t="str">
        <x:v>NCD 230.18 covers test stimulation and qualifying implantation after failed conventional therapy. Permanent implantation requires at least 50% improvement. Stress incontinence and specified obstructive/neurologic conditions are excluded.</x:v>
      </x:c>
      <x:c r="J30" s="2298" t="str">
        <x:v>Eligibility depends on indication and trial response</x:v>
      </x:c>
      <x:c r="K30" s="2298" t="str">
        <x:v>No patient-sex payment or denial differential established in this review.</x:v>
      </x:c>
      <x:c r="L30" s="2298" t="str">
        <x:v>Explicit national conditional coverage</x:v>
      </x:c>
      <x:c r="M30" s="2298" t="str">
        <x:v>A diagnosis of incontinence alone does not qualify.</x:v>
      </x:c>
      <x:c r="N30" s="2298" t="str">
        <x:v>Does the indication and documented test response satisfy the NCD?</x:v>
      </x:c>
      <x:c r="O30" s="2298" t="str"/>
      <x:c r="P30" s="2299" t="n">
        <x:v>46281.5</x:v>
      </x:c>
      <x:c r="Q30" s="2294" t="str"/>
      <x:c r="R30" s="2301" t="str">
        <x:v>https://www.cms.gov/medicare-coverage-database/view/ncd.aspx?ncdid=249</x:v>
      </x:c>
      <x:c r="S30" s="2301" t="str"/>
      <x:c r="T30" s="2307" t="str"/>
      <x:c r="U30" s="2302" t="str">
        <x:v>Shared body systems / functions</x:v>
      </x:c>
      <x:c r="V30" s="2302" t="str">
        <x:v>Shared bladder and neural function</x:v>
      </x:c>
      <x:c r="W30" s="2302" t="str">
        <x:v>Compare women and men with comparable clinical need, including unmet care, within the same condition and service. Assess clinical eligibility independently of reimbursement rules.</x:v>
      </x:c>
      <x:c r="X30" s="2302" t="str">
        <x:v>Underlying disease and eligible symptoms, rather than sex alone, define the comparison. Clinical guidance: C-003 (bibliography).</x:v>
      </x:c>
    </x:row>
    <x:row r="31" ht="117" customHeight="1">
      <x:c r="A31" s="2292" t="str">
        <x:v>P11</x:v>
      </x:c>
      <x:c r="B31" s="2292" t="str">
        <x:v>Nonimplantable pelvic-floor electrical stimulation</x:v>
      </x:c>
      <x:c r="C31" s="2297" t="str">
        <x:v>Covered with conditions</x:v>
      </x:c>
      <x:c r="D31" s="2292" t="str">
        <x:v>B / DME</x:v>
      </x:c>
      <x:c r="E31" s="2292" t="str">
        <x:v>Stress or urge urinary incontinence</x:v>
      </x:c>
      <x:c r="F31" s="2292" t="str">
        <x:v>Cognitively intact patients of any sex</x:v>
      </x:c>
      <x:c r="G31" s="2292" t="str">
        <x:v>Pelvic floor / incontinence</x:v>
      </x:c>
      <x:c r="H31" s="2292" t="str">
        <x:v>National NCD 230.8</x:v>
      </x:c>
      <x:c r="I31" s="2292" t="str">
        <x:v>NCD 230.8 covers stimulation after four weeks of prescribed pelvic exercises fail to yield significant improvement.</x:v>
      </x:c>
      <x:c r="J31" s="2292" t="str">
        <x:v>Same eligibility rule; vaginal or anal delivery may differ</x:v>
      </x:c>
      <x:c r="K31" s="2292" t="str">
        <x:v>No direct sex-specific reimbursement differential established here.</x:v>
      </x:c>
      <x:c r="L31" s="2292" t="str">
        <x:v>Explicit national conditional coverage</x:v>
      </x:c>
      <x:c r="M31" s="2292" t="str">
        <x:v>This is not the same technology as home biofeedback.</x:v>
      </x:c>
      <x:c r="N31" s="2292" t="str">
        <x:v>Is the device correctly classified and the exercise trial documented?</x:v>
      </x:c>
      <x:c r="O31" s="2292" t="str"/>
      <x:c r="P31" s="2293" t="n">
        <x:v>46281.5</x:v>
      </x:c>
      <x:c r="Q31" s="2294" t="str"/>
      <x:c r="R31" s="2295" t="str">
        <x:v>https://www.cms.gov/medicare-coverage-database/view/ncd.aspx?ncdid=231</x:v>
      </x:c>
      <x:c r="S31" s="2295" t="str"/>
      <x:c r="T31" s="2307" t="str"/>
      <x:c r="U31" s="2296" t="str">
        <x:v>Shared body systems / functions</x:v>
      </x:c>
      <x:c r="V31" s="2296" t="str">
        <x:v>Pelvic-floor and continence function in both sexes</x:v>
      </x:c>
      <x:c r="W31" s="2296" t="str">
        <x:v>Compare women and men with comparable clinical need, including unmet care, within the same condition and service. Assess clinical eligibility independently of reimbursement rules.</x:v>
      </x:c>
      <x:c r="X31" s="2296" t="str">
        <x:v>Preserve the device and modality distinction from implanted nerve stimulation. Clinical guidance: C-003 (bibliography).</x:v>
      </x:c>
    </x:row>
    <x:row r="32" ht="117" customHeight="1">
      <x:c r="A32" s="2298" t="str">
        <x:v>P12</x:v>
      </x:c>
      <x:c r="B32" s="2298" t="str">
        <x:v>Skilled pelvic-floor therapy for pain without incontinence</x:v>
      </x:c>
      <x:c r="C32" s="2306" t="str">
        <x:v>Local decision</x:v>
      </x:c>
      <x:c r="D32" s="2298" t="str">
        <x:v>B</x:v>
      </x:c>
      <x:c r="E32" s="2298" t="str">
        <x:v>Vulvodynia, nonspinal pelvic pain or other listed pelvic dysfunction</x:v>
      </x:c>
      <x:c r="F32" s="2298" t="str">
        <x:v>Patients with female or male pelvic conditions</x:v>
      </x:c>
      <x:c r="G32" s="2298" t="str">
        <x:v>Pelvic pain / rehabilitation</x:v>
      </x:c>
      <x:c r="H32" s="2298" t="str">
        <x:v>Wellpoint J6/JK; current 04/01/2026 article; not a national exclusion</x:v>
      </x:c>
      <x:c r="I32" s="2298" t="str">
        <x:v>Wellpoint A56566 lists specified non-incontinence pelvic dysfunction/pain interventions as noncovered skilled therapy; listed diagnoses also include prostatitis. Other jurisdictions must be checked.</x:v>
      </x:c>
      <x:c r="J32" s="2298" t="str">
        <x:v>Local exclusion versus evidence of treatment benefit</x:v>
      </x:c>
      <x:c r="K32" s="2298" t="str">
        <x:v>Canadian RCT: 79% improved with multimodal PT versus 39% with lidocaine for provoked vestibulodynia.</x:v>
      </x:c>
      <x:c r="L32" s="2298" t="str">
        <x:v>Local restriction plus randomized clinical effectiveness evidence</x:v>
      </x:c>
      <x:c r="M32" s="2298" t="str">
        <x:v>RCT is not a Medicare payment study; not all older patients or pelvic conditions. Exclusion also lists male-associated disease.</x:v>
      </x:c>
      <x:c r="N32" s="2298" t="str">
        <x:v>Does current jurisdictional policy cover the specific diagnosis and intervention?</x:v>
      </x:c>
      <x:c r="O32" s="2298" t="str">
        <x:v>L-P10</x:v>
      </x:c>
      <x:c r="P32" s="2299" t="n">
        <x:v>46281.5</x:v>
      </x:c>
      <x:c r="Q32" s="2294" t="str"/>
      <x:c r="R32" s="2301" t="str">
        <x:v>https://www.cms.gov/medicare-coverage-database/view/article.aspx?articleid=56566</x:v>
      </x:c>
      <x:c r="S32" s="2301" t="str"/>
      <x:c r="T32" s="2307" t="str"/>
      <x:c r="U32" s="2302" t="str">
        <x:v>Mixed or site-dependent</x:v>
      </x:c>
      <x:c r="V32" s="2302" t="str">
        <x:v>Shared pelvic pain plus vulvar-specific diagnoses</x:v>
      </x:c>
      <x:c r="W32" s="2302" t="str">
        <x:v>Separate diagnosis, organ/site and procedure components before estimating sex comparisons. Do not assign the entire row to one sex.</x:v>
      </x:c>
      <x:c r="X32" s="2302" t="str">
        <x:v>This umbrella combines vulvodynia and other pelvic dysfunction. Extract diagnosis-specific eligibility and outcomes before assigning a single anatomy group.</x:v>
      </x:c>
    </x:row>
    <x:row r="33" ht="117" customHeight="1">
      <x:c r="A33" s="2292" t="str">
        <x:v>P13</x:v>
      </x:c>
      <x:c r="B33" s="2292" t="str">
        <x:v>Surgical diagnosis or treatment of endometriosis</x:v>
      </x:c>
      <x:c r="C33" s="2305" t="str">
        <x:v>Not established</x:v>
      </x:c>
      <x:c r="D33" s="2292" t="str">
        <x:v>A/B by setting</x:v>
      </x:c>
      <x:c r="E33" s="2292" t="str">
        <x:v>Symptomatic suspected or confirmed disease</x:v>
      </x:c>
      <x:c r="F33" s="2292" t="str">
        <x:v>Patients with endometriosis</x:v>
      </x:c>
      <x:c r="G33" s="2292" t="str">
        <x:v>Endometriosis</x:v>
      </x:c>
      <x:c r="H33" s="2292" t="str">
        <x:v>National general surgical benefit; code/indication-specific coverage unresolved</x:v>
      </x:c>
      <x:c r="I33" s="2292" t="str">
        <x:v>General surgery benefit may apply when medically necessary. This review did not verify a nationwide endometriosis-specific payment guarantee or exclusion.</x:v>
      </x:c>
      <x:c r="J33" s="2292" t="str">
        <x:v>Complex excision versus other gynecologic surgical work</x:v>
      </x:c>
      <x:c r="K33" s="2292" t="str">
        <x:v>Broader gynecologic valuation studies support further review; they do not establish an endometriosis-specific reimbursement effect.</x:v>
      </x:c>
      <x:c r="L33" s="2292" t="str">
        <x:v>Broader observational evidence; item-specific evidence gap</x:v>
      </x:c>
      <x:c r="M33" s="2292" t="str">
        <x:v>Do not infer noncoverage from missing dedicated disease codes or infer coverage from RVUs.</x:v>
      </x:c>
      <x:c r="N33" s="2292" t="str">
        <x:v>What exact operation, diagnosis, additional procedures and contractor rules apply?</x:v>
      </x:c>
      <x:c r="O33" s="2292" t="str">
        <x:v>L-P01, L-P04</x:v>
      </x:c>
      <x:c r="P33" s="2293" t="n">
        <x:v>46281.5</x:v>
      </x:c>
      <x:c r="Q33" s="2294" t="str"/>
      <x:c r="R33" s="2295" t="str">
        <x:v>https://www.medicare.gov/coverage/surgery</x:v>
      </x:c>
      <x:c r="S33" s="2295" t="str"/>
      <x:c r="T33" s="2307" t="str"/>
      <x:c r="U33" s="2296" t="str">
        <x:v>Mixed or site-dependent</x:v>
      </x:c>
      <x:c r="V33" s="2296" t="str">
        <x:v>Endometriosis; operative anatomy depends on lesion site</x:v>
      </x:c>
      <x:c r="W33" s="2296" t="str">
        <x:v>Separate diagnosis, organ/site and procedure components before estimating sex comparisons. Do not assign the entire row to one sex.</x:v>
      </x:c>
      <x:c r="X33" s="2296" t="str">
        <x:v>Reproductive-tissue-related disease can affect bowel, bladder and other sites. Specify the operation and site; do not assume all surgery is confined to a reproductive organ. Clinical guidance: C-002 (bibliography).</x:v>
      </x:c>
    </x:row>
    <x:row r="34" ht="117" customHeight="1">
      <x:c r="A34" s="2298" t="str">
        <x:v>P14</x:v>
      </x:c>
      <x:c r="B34" s="2298" t="str">
        <x:v>Surgical repair of symptomatic pelvic-organ prolapse</x:v>
      </x:c>
      <x:c r="C34" s="2305" t="str">
        <x:v>Not established</x:v>
      </x:c>
      <x:c r="D34" s="2298" t="str">
        <x:v>A/B by setting</x:v>
      </x:c>
      <x:c r="E34" s="2298" t="str">
        <x:v>Functionally significant pelvic-organ prolapse</x:v>
      </x:c>
      <x:c r="F34" s="2298" t="str">
        <x:v>Patients with affected pelvic anatomy</x:v>
      </x:c>
      <x:c r="G34" s="2298" t="str">
        <x:v>Pelvic organ prolapse</x:v>
      </x:c>
      <x:c r="H34" s="2298" t="str">
        <x:v>National general surgical benefit; specific coverage verification needed</x:v>
      </x:c>
      <x:c r="I34" s="2298" t="str">
        <x:v>Medically necessary surgery can fall under the general benefit. Procedure-specific nationwide approval was not established in this review.</x:v>
      </x:c>
      <x:c r="J34" s="2298" t="str">
        <x:v>Different repair techniques; no inherently identical male comparator</x:v>
      </x:c>
      <x:c r="K34" s="2298" t="str">
        <x:v>Sex-specific surgical studies do not independently establish a prolapse-specific payment disadvantage.</x:v>
      </x:c>
      <x:c r="L34" s="2298" t="str">
        <x:v>General benefit plus evidence gap</x:v>
      </x:c>
      <x:c r="M34" s="2298" t="str">
        <x:v>Therapy exclusions for a prolapse diagnosis do not automatically exclude surgical repair.</x:v>
      </x:c>
      <x:c r="N34" s="2298" t="str">
        <x:v>Which repair, symptom severity, setting and contractor requirements apply?</x:v>
      </x:c>
      <x:c r="O34" s="2298" t="str">
        <x:v>L-P02, L-P03</x:v>
      </x:c>
      <x:c r="P34" s="2299" t="n">
        <x:v>46281.5</x:v>
      </x:c>
      <x:c r="Q34" s="2294" t="str"/>
      <x:c r="R34" s="2301" t="str">
        <x:v>https://www.medicare.gov/coverage/surgery</x:v>
      </x:c>
      <x:c r="S34" s="2301" t="str"/>
      <x:c r="T34" s="2307" t="str"/>
      <x:c r="U34" s="2302" t="str">
        <x:v>Mixed or site-dependent</x:v>
      </x:c>
      <x:c r="V34" s="2302" t="str">
        <x:v>Pelvic-organ prolapse; exact repair anatomy unresolved</x:v>
      </x:c>
      <x:c r="W34" s="2302" t="str">
        <x:v>Separate diagnosis, organ/site and procedure components before estimating sex comparisons. Do not assign the entire row to one sex.</x:v>
      </x:c>
      <x:c r="X34" s="2302" t="str">
        <x:v>Provisional classification pending organ/site and procedure codes. Confirmed vaginal or uterine-support repairs can be classified as female reproductive anatomy.</x:v>
      </x:c>
    </x:row>
    <x:row r="35" ht="117" customHeight="1">
      <x:c r="A35" s="2292" t="str">
        <x:v>G04</x:v>
      </x:c>
      <x:c r="B35" s="2292" t="str">
        <x:v>Bone mass measurement: estrogen-deficient risk category</x:v>
      </x:c>
      <x:c r="C35" s="2297" t="str">
        <x:v>Covered with conditions</x:v>
      </x:c>
      <x:c r="D35" s="2292" t="str">
        <x:v>B</x:v>
      </x:c>
      <x:c r="E35" s="2292" t="str">
        <x:v>Osteoporosis risk in estrogen-deficient women</x:v>
      </x:c>
      <x:c r="F35" s="2292" t="str">
        <x:v>Women meeting physician-determined criteria</x:v>
      </x:c>
      <x:c r="G35" s="2292" t="str">
        <x:v>Bone health</x:v>
      </x:c>
      <x:c r="H35" s="2292" t="str">
        <x:v>National benefit; uniform coverage since 1998-07-01.</x:v>
      </x:c>
      <x:c r="I35" s="2292" t="str">
        <x:v>Estrogen deficiency plus clinical osteoporosis risk is an explicit eligibility pathway. Generally covered every 24 months, or more often if medically necessary; assignment eliminates cost sharing.</x:v>
      </x:c>
      <x:c r="J35" s="2292" t="str">
        <x:v>Men of comparable fracture risk lack this particular eligibility pathway.</x:v>
      </x:c>
      <x:c r="K35" s="2292" t="str">
        <x:v>Historical Medicare data found substantially more DXA testing among women than men; this does not isolate coverage as the cause.</x:v>
      </x:c>
      <x:c r="L35" s="2292" t="str">
        <x:v>Explicit sex-specific criterion; Medicare utilization study</x:v>
      </x:c>
      <x:c r="M35" s="2292" t="str">
        <x:v>Different underlying risk and screening recommendations complicate direct comparison.</x:v>
      </x:c>
      <x:c r="N35" s="2292" t="str">
        <x:v>Compare beneficiaries at equivalent fracture risk and identify their qualifying indications.</x:v>
      </x:c>
      <x:c r="O35" s="2292" t="str">
        <x:v>L-G04, L-G05, L-R03, L-R04</x:v>
      </x:c>
      <x:c r="P35" s="2293" t="n">
        <x:v>46281.5</x:v>
      </x:c>
      <x:c r="Q35" s="2294" t="str"/>
      <x:c r="R35" s="2295" t="str">
        <x:v>https://www.medicare.gov/coverage/bone-mass-measurements</x:v>
      </x:c>
      <x:c r="S35" s="2295" t="str"/>
      <x:c r="T35" s="2307" t="str"/>
      <x:c r="U35" s="2296" t="str">
        <x:v>Shared body systems / functions</x:v>
      </x:c>
      <x:c r="V35" s="2296" t="str">
        <x:v>Shared bone anatomy; women-specific estrogen-deficiency pathway</x:v>
      </x:c>
      <x:c r="W35" s="2296" t="str">
        <x:v>Compare women and men with comparable clinical need, including unmet care, within the same condition and service. Assess clinical eligibility independently of reimbursement rules.</x:v>
      </x:c>
      <x:c r="X35" s="2296" t="str">
        <x:v>A sex-specific eligibility route is a policy feature, not an anatomical restriction. Retain it when comparing with G05. Clinical guidance: C-004 (bibliography).</x:v>
      </x:c>
    </x:row>
    <x:row r="36" ht="117" customHeight="1">
      <x:c r="A36" s="2298" t="str">
        <x:v>G05</x:v>
      </x:c>
      <x:c r="B36" s="2298" t="str">
        <x:v>Bone mass measurement: men and other qualifying groups</x:v>
      </x:c>
      <x:c r="C36" s="2297" t="str">
        <x:v>Covered with conditions</x:v>
      </x:c>
      <x:c r="D36" s="2298" t="str">
        <x:v>B</x:v>
      </x:c>
      <x:c r="E36" s="2298" t="str">
        <x:v>Specified imaging abnormalities, steroids, hyperparathyroidism or treatment monitoring</x:v>
      </x:c>
      <x:c r="F36" s="2298" t="str">
        <x:v>Men and women meeting qualifying criteria</x:v>
      </x:c>
      <x:c r="G36" s="2298" t="str">
        <x:v>Bone health</x:v>
      </x:c>
      <x:c r="H36" s="2298" t="str">
        <x:v>National benefit; checked 2026-09-16.</x:v>
      </x:c>
      <x:c r="I36" s="2298" t="str">
        <x:v>Men can qualify through sex-neutral categories, including specified imaging findings, steroid therapy, primary hyperparathyroidism and osteoporosis-treatment monitoring. Age alone is not among the listed eligibility categories.</x:v>
      </x:c>
      <x:c r="J36" s="2298" t="str">
        <x:v>Sex-specific estrogen pathway versus remaining eligibility categories.</x:v>
      </x:c>
      <x:c r="K36" s="2298" t="str">
        <x:v>A randomized MAPD outreach program increased post-fracture male testing, showing that delivery barriers can persist despite coverage.</x:v>
      </x:c>
      <x:c r="L36" s="2298" t="str">
        <x:v>National policy; Medicare Advantage randomized intervention</x:v>
      </x:c>
      <x:c r="M36" s="2298" t="str">
        <x:v>Low utilization does not prove denied claims; outreach trial involved one insurer and selected men.</x:v>
      </x:c>
      <x:c r="N36" s="2298" t="str">
        <x:v>Separate referral failures, benefit eligibility, denials and patient access barriers.</x:v>
      </x:c>
      <x:c r="O36" s="2298" t="str">
        <x:v>L-G04, L-G05, L-R03</x:v>
      </x:c>
      <x:c r="P36" s="2299" t="n">
        <x:v>46281.5</x:v>
      </x:c>
      <x:c r="Q36" s="2294" t="str"/>
      <x:c r="R36" s="2301" t="str">
        <x:v>https://www.medicare.gov/coverage/bone-mass-measurements</x:v>
      </x:c>
      <x:c r="S36" s="2301" t="str"/>
      <x:c r="T36" s="2307" t="str"/>
      <x:c r="U36" s="2302" t="str">
        <x:v>Shared body systems / functions</x:v>
      </x:c>
      <x:c r="V36" s="2302" t="str">
        <x:v>Shared bone anatomy; additional qualifying risk groups</x:v>
      </x:c>
      <x:c r="W36" s="2302" t="str">
        <x:v>Compare women and men with comparable clinical need, including unmet care, within the same condition and service. Assess clinical eligibility independently of reimbursement rules.</x:v>
      </x:c>
      <x:c r="X36" s="2302" t="str">
        <x:v>Compare testing access among clinically eligible beneficiaries, not unadjusted counts alone. Clinical guidance: C-004 (bibliography).</x:v>
      </x:c>
    </x:row>
    <x:row r="37" ht="117" customHeight="1">
      <x:c r="A37" s="2292" t="str">
        <x:v>G06</x:v>
      </x:c>
      <x:c r="B37" s="2292" t="str">
        <x:v>Screening mammography</x:v>
      </x:c>
      <x:c r="C37" s="2297" t="str">
        <x:v>Covered with conditions</x:v>
      </x:c>
      <x:c r="D37" s="2292" t="str">
        <x:v>B</x:v>
      </x:c>
      <x:c r="E37" s="2292" t="str">
        <x:v>Asymptomatic breast cancer screening</x:v>
      </x:c>
      <x:c r="F37" s="2292" t="str">
        <x:v>Women meeting Medicare screening eligibility</x:v>
      </x:c>
      <x:c r="G37" s="2292" t="str">
        <x:v>Cancer screening</x:v>
      </x:c>
      <x:c r="H37" s="2292" t="str">
        <x:v>National benefit; current Medicare page checked 2026-09-16.</x:v>
      </x:c>
      <x:c r="I37" s="2292" t="str">
        <x:v>Medicare lists one baseline mammogram for women aged 35–39 and annual screening from age 40. Medically necessary diagnostic mammograms follow separate rules.</x:v>
      </x:c>
      <x:c r="J37" s="2292" t="str">
        <x:v>Mammography and other cancer screening: compare eligibility and patient costs while accounting for different clinical indications.</x:v>
      </x:c>
      <x:c r="K37" s="2292" t="str">
        <x:v>The previously linked transgender-screening studies are excluded under the revised population criterion. No eligible screening-disparity study is currently linked.</x:v>
      </x:c>
      <x:c r="L37" s="2292" t="str">
        <x:v>National coverage policy; in-scope literature gap</x:v>
      </x:c>
      <x:c r="M37" s="2292" t="str">
        <x:v>Screening and diagnostic mammography have different coverage rules. A difference between screening programs is not itself proof of bias.</x:v>
      </x:c>
      <x:c r="N37" s="2292" t="str">
        <x:v>Identify eligible studies of screening costs, denials and follow-up among women and clinically justified comparisons.</x:v>
      </x:c>
      <x:c r="O37" s="2292" t="str"/>
      <x:c r="P37" s="2293" t="n">
        <x:v>46281.5</x:v>
      </x:c>
      <x:c r="Q37" s="2294" t="str"/>
      <x:c r="R37" s="2295" t="str">
        <x:v>https://www.medicare.gov/coverage/mammograms</x:v>
      </x:c>
      <x:c r="S37" s="2295" t="str"/>
      <x:c r="T37" s="2307" t="str"/>
      <x:c r="U37" s="2296" t="str">
        <x:v>Shared body systems / functions</x:v>
      </x:c>
      <x:c r="V37" s="2296" t="str">
        <x:v>Shared breast tissue; recorded screening policy concerns women</x:v>
      </x:c>
      <x:c r="W37" s="2296" t="str">
        <x:v>Compare women and men with comparable clinical need, including unmet care, within the same condition and service. Assess clinical eligibility independently of reimbursement rules.</x:v>
      </x:c>
      <x:c r="X37" s="2296" t="str">
        <x:v>Keep screening eligibility distinct from diagnostic imaging and from the existence of breast tissue in men. Clinical guidance: C-001 (bibliography).</x:v>
      </x:c>
    </x:row>
    <x:row r="38" ht="117" customHeight="1">
      <x:c r="A38" s="2298" t="str">
        <x:v>G07</x:v>
      </x:c>
      <x:c r="B38" s="2298" t="str">
        <x:v>PSA and digital rectal prostate screening</x:v>
      </x:c>
      <x:c r="C38" s="2297" t="str">
        <x:v>Covered with conditions</x:v>
      </x:c>
      <x:c r="D38" s="2298" t="str">
        <x:v>B</x:v>
      </x:c>
      <x:c r="E38" s="2298" t="str">
        <x:v>Asymptomatic prostate cancer screening</x:v>
      </x:c>
      <x:c r="F38" s="2298" t="str">
        <x:v>Men meeting Medicare prostate-screening eligibility</x:v>
      </x:c>
      <x:c r="G38" s="2298" t="str">
        <x:v>Cancer screening</x:v>
      </x:c>
      <x:c r="H38" s="2298" t="str">
        <x:v>National benefit; coverage began 2000-01-01.</x:v>
      </x:c>
      <x:c r="I38" s="2298" t="str">
        <x:v>Annual screening after age 50; screening PSA has no cost sharing, while digital rectal examination generally has deductible and coinsurance. NCD 210.1 current version effective 2006-06-19.</x:v>
      </x:c>
      <x:c r="J38" s="2298" t="str">
        <x:v>PSA versus digital rectal screening cost sharing; comparisons with other cancer screens require clinical justification.</x:v>
      </x:c>
      <x:c r="K38" s="2298" t="str">
        <x:v>The previously linked transgender-screening studies are excluded under the revised population criterion. No eligible screening-disparity study is currently linked.</x:v>
      </x:c>
      <x:c r="L38" s="2298" t="str">
        <x:v>National coverage policy; in-scope literature gap</x:v>
      </x:c>
      <x:c r="M38" s="2298" t="str">
        <x:v>Screening frequency alone does not measure appropriate care. Comparisons require adjustment for clinical need and screening recommendations.</x:v>
      </x:c>
      <x:c r="N38" s="2298" t="str">
        <x:v>Identify eligible studies of prostate-screening costs, denials and utilization among men.</x:v>
      </x:c>
      <x:c r="O38" s="2298" t="str"/>
      <x:c r="P38" s="2299" t="n">
        <x:v>46281.5</x:v>
      </x:c>
      <x:c r="Q38" s="2294" t="str"/>
      <x:c r="R38" s="2301" t="str">
        <x:v>https://www.medicare.gov/coverage/prostate-cancer-screenings</x:v>
      </x:c>
      <x:c r="S38" s="2301" t="str"/>
      <x:c r="T38" s="2307" t="str"/>
      <x:c r="U38" s="2302" t="str">
        <x:v>Male reproductive anatomy</x:v>
      </x:c>
      <x:c r="V38" s="2302" t="str">
        <x:v>Prostate-dependent screening</x:v>
      </x:c>
      <x:c r="W38" s="2302" t="str">
        <x:v>Assess organ-specific clinical need and benefit. Compare other services only when purpose, complexity and resources are defensibly comparable.</x:v>
      </x:c>
      <x:c r="X38" s="2302" t="str">
        <x:v>PSA and digital rectal screening differ in method and cost sharing; no female prostate-screening counterpart is required.</x:v>
      </x:c>
    </x:row>
    <x:row r="39" ht="117" customHeight="1">
      <x:c r="A39" s="2292" t="str">
        <x:v>G08</x:v>
      </x:c>
      <x:c r="B39" s="2292" t="str">
        <x:v>IUD insertion solely for pregnancy prevention</x:v>
      </x:c>
      <x:c r="C39" s="2306" t="str">
        <x:v>Local decision</x:v>
      </x:c>
      <x:c r="D39" s="2292" t="str">
        <x:v>B; MA supplemental coverage requires verification</x:v>
      </x:c>
      <x:c r="E39" s="2292" t="str">
        <x:v>Pregnancy prevention without separate medical indication</x:v>
      </x:c>
      <x:c r="F39" s="2292" t="str">
        <x:v>Reproductive-age beneficiaries, frequently eligible through disability</x:v>
      </x:c>
      <x:c r="G39" s="2292" t="str">
        <x:v>Contraception</x:v>
      </x:c>
      <x:c r="H39" s="2292" t="str">
        <x:v>WPS Part B article, revised 2026-06-25; local-source exclusion. Do not generalize to all MACs, Part D drugs or MA supplemental benefits.</x:v>
      </x:c>
      <x:c r="I39" s="2292" t="str">
        <x:v>WPS article A55951 states insertion code 58300 is noncovered and offers an alternative billing pathway for endometrial disease. This row documents WPS nonpayment for contraception; nationwide method-specific coverage was not independently established.</x:v>
      </x:c>
      <x:c r="J39" s="2292" t="str">
        <x:v>Pregnancy prevention versus treatment of the same organ's disease.</x:v>
      </x:c>
      <x:c r="K39" s="2292" t="str">
        <x:v>Medicare studies found lower contraceptive utilization than Medicaid and increased use after gaining dual coverage.</x:v>
      </x:c>
      <x:c r="L39" s="2292" t="str">
        <x:v>MAC coding policy; Medicare claims and quasi-experimental evidence</x:v>
      </x:c>
      <x:c r="M39" s="2292" t="str">
        <x:v>Methods and payer components differ; supplemental benefits and dual Medicaid coverage matter.</x:v>
      </x:c>
      <x:c r="N39" s="2292" t="str">
        <x:v>Verify method-specific payment, indication and benefit component in each plan.</x:v>
      </x:c>
      <x:c r="O39" s="2292" t="str">
        <x:v>L-G09, L-G10</x:v>
      </x:c>
      <x:c r="P39" s="2293" t="n">
        <x:v>46281.5</x:v>
      </x:c>
      <x:c r="Q39" s="2294" t="str"/>
      <x:c r="R39" s="2295" t="str">
        <x:v>https://www.cms.gov/medicare-coverage-database/view/article.aspx?articleid=55951</x:v>
      </x:c>
      <x:c r="S39" s="2295" t="str"/>
      <x:c r="T39" s="2307" t="str"/>
      <x:c r="U39" s="2296" t="str">
        <x:v>Female reproductive anatomy</x:v>
      </x:c>
      <x:c r="V39" s="2296" t="str">
        <x:v>Uterine device placement for pregnancy prevention</x:v>
      </x:c>
      <x:c r="W39" s="2296" t="str">
        <x:v>Assess organ-specific clinical need and benefit. Compare other services only when purpose, complexity and resources are defensibly comparable.</x:v>
      </x:c>
      <x:c r="X39" s="2296" t="str">
        <x:v>Separate anatomical suitability from the preventive versus therapeutic indication.</x:v>
      </x:c>
    </x:row>
    <x:row r="40" ht="117" customHeight="1">
      <x:c r="A40" s="2298" t="str">
        <x:v>G09</x:v>
      </x:c>
      <x:c r="B40" s="2298" t="str">
        <x:v>Cervical/vaginal screening and HPV cotesting</x:v>
      </x:c>
      <x:c r="C40" s="2297" t="str">
        <x:v>Covered with conditions</x:v>
      </x:c>
      <x:c r="D40" s="2298" t="str">
        <x:v>B</x:v>
      </x:c>
      <x:c r="E40" s="2298" t="str">
        <x:v>Asymptomatic cervical/vaginal cancer screening</x:v>
      </x:c>
      <x:c r="F40" s="2298" t="str">
        <x:v>Women meeting anatomy, age and risk criteria</x:v>
      </x:c>
      <x:c r="G40" s="2298" t="str">
        <x:v>Cancer screening</x:v>
      </x:c>
      <x:c r="H40" s="2298" t="str">
        <x:v>National benefit; current page checked 2026-09-16.</x:v>
      </x:c>
      <x:c r="I40" s="2298" t="str">
        <x:v>Pap/pelvic screening generally every 24 months, annually for specified higher-risk groups. HPV cotesting every five years at ages 30–65 without symptoms. Covered screening has no cost sharing with assignment.</x:v>
      </x:c>
      <x:c r="J40" s="2298" t="str">
        <x:v>Routine versus high-risk cervical screening pathways; comparisons with other cancer screens require clinical justification.</x:v>
      </x:c>
      <x:c r="K40" s="2298" t="str">
        <x:v>The previously linked transgender-screening studies are excluded under the revised population criterion. No eligible screening-disparity study is currently linked.</x:v>
      </x:c>
      <x:c r="L40" s="2298" t="str">
        <x:v>National coverage policy; in-scope literature gap</x:v>
      </x:c>
      <x:c r="M40" s="2298" t="str">
        <x:v>Coverage of screening does not establish access to diagnostic follow-up. No eligible comparative denial study is currently attached.</x:v>
      </x:c>
      <x:c r="N40" s="2298" t="str">
        <x:v>Identify eligible studies of cervical screening, follow-up costs and access among women.</x:v>
      </x:c>
      <x:c r="O40" s="2298" t="str"/>
      <x:c r="P40" s="2299" t="n">
        <x:v>46281.5</x:v>
      </x:c>
      <x:c r="Q40" s="2294" t="str"/>
      <x:c r="R40" s="2301" t="str">
        <x:v>https://www.medicare.gov/coverage/cervical-vaginal-cancer-screenings</x:v>
      </x:c>
      <x:c r="S40" s="2301" t="str"/>
      <x:c r="T40" s="2307" t="str"/>
      <x:c r="U40" s="2302" t="str">
        <x:v>Female reproductive anatomy</x:v>
      </x:c>
      <x:c r="V40" s="2302" t="str">
        <x:v>Cervix/vagina and screening indication</x:v>
      </x:c>
      <x:c r="W40" s="2302" t="str">
        <x:v>Assess organ-specific clinical need and benefit. Compare other services only when purpose, complexity and resources are defensibly comparable.</x:v>
      </x:c>
      <x:c r="X40" s="2302" t="str">
        <x:v>Record organ presence, age and risk; a patient sex label alone does not establish clinical eligibility.</x:v>
      </x:c>
    </x:row>
    <x:row r="41" ht="117" customHeight="1">
      <x:c r="A41" s="2292" t="str">
        <x:v>G10</x:v>
      </x:c>
      <x:c r="B41" s="2292" t="str">
        <x:v>Hormone-eluting IUD for endometrial hyperplasia</x:v>
      </x:c>
      <x:c r="C41" s="2306" t="str">
        <x:v>Local decision</x:v>
      </x:c>
      <x:c r="D41" s="2292" t="str">
        <x:v>B</x:v>
      </x:c>
      <x:c r="E41" s="2292" t="str">
        <x:v>Endometrial hyperplasia with documented medical necessity</x:v>
      </x:c>
      <x:c r="F41" s="2292" t="str">
        <x:v>Patients with endometrial disease meeting local criteria</x:v>
      </x:c>
      <x:c r="G41" s="2292" t="str">
        <x:v>Contraception and gynecologic treatment</x:v>
      </x:c>
      <x:c r="H41" s="2292" t="str">
        <x:v>WPS contractor guidance, not a national IUD approval.</x:v>
      </x:c>
      <x:c r="I41" s="2292" t="str">
        <x:v>WPS A55951 permits qualifying treatment using an unlisted procedure pathway instead of routinely denied IUD-insertion coding. Documentation and diagnosis requirements apply; 2026 coding changes take effect 2026-07-01.</x:v>
      </x:c>
      <x:c r="J41" s="2292" t="str">
        <x:v>Same device for treatment versus pregnancy prevention.</x:v>
      </x:c>
      <x:c r="K41" s="2292" t="str">
        <x:v>Shows indication-dependent access; national research found higher contraceptive use when noncontraceptive clinical indications were present.</x:v>
      </x:c>
      <x:c r="L41" s="2292" t="str">
        <x:v>MAC policy; Medicare utilization evidence</x:v>
      </x:c>
      <x:c r="M41" s="2292" t="str">
        <x:v>Article concerns specific endometrial conditions; it does not establish approval for every gynecologic use.</x:v>
      </x:c>
      <x:c r="N41" s="2292" t="str">
        <x:v>Do clinically eligible patients encounter coding-related denials or regional variation?</x:v>
      </x:c>
      <x:c r="O41" s="2292" t="str">
        <x:v>L-G09, L-G10</x:v>
      </x:c>
      <x:c r="P41" s="2293" t="n">
        <x:v>46281.5</x:v>
      </x:c>
      <x:c r="Q41" s="2294" t="str"/>
      <x:c r="R41" s="2295" t="str">
        <x:v>https://www.cms.gov/medicare-coverage-database/view/article.aspx?articleid=55951</x:v>
      </x:c>
      <x:c r="S41" s="2295" t="str"/>
      <x:c r="T41" s="2307" t="str"/>
      <x:c r="U41" s="2296" t="str">
        <x:v>Female reproductive anatomy</x:v>
      </x:c>
      <x:c r="V41" s="2296" t="str">
        <x:v>Uterus/endometrium; treatment indication</x:v>
      </x:c>
      <x:c r="W41" s="2296" t="str">
        <x:v>Assess organ-specific clinical need and benefit. Compare other services only when purpose, complexity and resources are defensibly comparable.</x:v>
      </x:c>
      <x:c r="X41" s="2296" t="str">
        <x:v>Compare with the same device used for pregnancy prevention only after distinguishing medical purpose.</x:v>
      </x:c>
    </x:row>
    <x:row r="42" ht="117" customHeight="1">
      <x:c r="A42" s="2298" t="str">
        <x:v>G11</x:v>
      </x:c>
      <x:c r="B42" s="2298" t="str">
        <x:v>Medically necessary infertility evaluation and treatment</x:v>
      </x:c>
      <x:c r="C42" s="2297" t="str">
        <x:v>Covered with conditions</x:v>
      </x:c>
      <x:c r="D42" s="2298" t="str">
        <x:v>A/B depending on service</x:v>
      </x:c>
      <x:c r="E42" s="2298" t="str">
        <x:v>Infertility associated with a medical condition</x:v>
      </x:c>
      <x:c r="F42" s="2298" t="str">
        <x:v>Medicare beneficiaries with infertility</x:v>
      </x:c>
      <x:c r="G42" s="2298" t="str">
        <x:v>Fertility</x:v>
      </x:c>
      <x:c r="H42" s="2298" t="str">
        <x:v>National manual; chapter 1 cites coverage since 1980-01-15.</x:v>
      </x:c>
      <x:c r="I42" s="2298" t="str">
        <x:v>Benefit Policy Manual chapter 15, section 20.1B, covers reasonable and necessary infertility treatment for a person ordinarily expected to be fertile. This general principle does not approve every assisted reproductive technique.</x:v>
      </x:c>
      <x:c r="J42" s="2298" t="str">
        <x:v>Male- and female-factor infertility with comparable treatment objectives.</x:v>
      </x:c>
      <x:c r="K42" s="2298" t="str">
        <x:v>A blanket statement that Medicare excludes all infertility care conflicts with the manual.</x:v>
      </x:c>
      <x:c r="L42" s="2298" t="str">
        <x:v>National benefit policy; no matched disparity study attached</x:v>
      </x:c>
      <x:c r="M42" s="2298" t="str">
        <x:v>Specific technique, indication, setting and benefit category must be established.</x:v>
      </x:c>
      <x:c r="N42" s="2298" t="str">
        <x:v>Which infertility services satisfy current medical-necessity and coding rules?</x:v>
      </x:c>
      <x:c r="O42" s="2298" t="str"/>
      <x:c r="P42" s="2299" t="n">
        <x:v>46281.5</x:v>
      </x:c>
      <x:c r="Q42" s="2294" t="str"/>
      <x:c r="R42" s="2301" t="str">
        <x:v>https://www.cms.gov/Regulations-and-Guidance/Guidance/Manuals/Downloads/bp102c15.pdf</x:v>
      </x:c>
      <x:c r="S42" s="2301" t="str"/>
      <x:c r="T42" s="2307" t="str"/>
      <x:c r="U42" s="2302" t="str">
        <x:v>Mixed or site-dependent</x:v>
      </x:c>
      <x:c r="V42" s="2302" t="str">
        <x:v>Male- and female-factor infertility components</x:v>
      </x:c>
      <x:c r="W42" s="2302" t="str">
        <x:v>Separate diagnosis, organ/site and procedure components before estimating sex comparisons. Do not assign the entire row to one sex.</x:v>
      </x:c>
      <x:c r="X42" s="2302" t="str">
        <x:v>Separate cause, diagnostic service and treatment before cross-sex comparison.</x:v>
      </x:c>
    </x:row>
    <x:row r="43" ht="117" customHeight="1">
      <x:c r="A43" s="2292" t="str">
        <x:v>G12</x:v>
      </x:c>
      <x:c r="B43" s="2292" t="str">
        <x:v>IVF and fertility preservation/cryostorage</x:v>
      </x:c>
      <x:c r="C43" s="2305" t="str">
        <x:v>Not established</x:v>
      </x:c>
      <x:c r="D43" s="2292" t="str">
        <x:v>A/B/D potentially; component-specific</x:v>
      </x:c>
      <x:c r="E43" s="2292" t="str">
        <x:v>Infertility or prevention of treatment-related infertility</x:v>
      </x:c>
      <x:c r="F43" s="2292" t="str">
        <x:v>Patients considering gamete or embryo preservation and assisted reproduction</x:v>
      </x:c>
      <x:c r="G43" s="2292" t="str">
        <x:v>Fertility</x:v>
      </x:c>
      <x:c r="H43" s="2292" t="str">
        <x:v>Evidence gap in this review; not a finding of national noncoverage.</x:v>
      </x:c>
      <x:c r="I43" s="2292" t="str">
        <x:v>The national infertility manual does not itemize IVF, gamete retrieval or storage. This search did not establish a procedure-specific national approval or exclusion; each component requires MAC/plan verification.</x:v>
      </x:c>
      <x:c r="J43" s="2292" t="str">
        <x:v>Sperm versus oocyte preservation for infertility or prevention of treatment-related infertility, including cancer care.</x:v>
      </x:c>
      <x:c r="K43" s="2292" t="str">
        <x:v>No verified Medicare-specific comparative approval evidence retrieved.</x:v>
      </x:c>
      <x:c r="L43" s="2292" t="str">
        <x:v>Coverage not established at procedure level</x:v>
      </x:c>
      <x:c r="M43" s="2292" t="str">
        <x:v>General infertility coverage cannot be extrapolated to elective preservation or indefinite storage. Drugs used to promote fertility are excluded from basic Part D; see G15.</x:v>
      </x:c>
      <x:c r="N43" s="2292" t="str">
        <x:v>Obtain written component-level determinations and distinguish infertility treatment from preservation.</x:v>
      </x:c>
      <x:c r="O43" s="2292" t="str"/>
      <x:c r="P43" s="2293" t="n">
        <x:v>46281.5</x:v>
      </x:c>
      <x:c r="Q43" s="2294" t="str"/>
      <x:c r="R43" s="2295" t="str">
        <x:v>https://www.cms.gov/Regulations-and-Guidance/Guidance/Manuals/Downloads/bp102c15.pdf</x:v>
      </x:c>
      <x:c r="S43" s="2295" t="str"/>
      <x:c r="T43" s="2307" t="str"/>
      <x:c r="U43" s="2296" t="str">
        <x:v>Mixed or site-dependent</x:v>
      </x:c>
      <x:c r="V43" s="2296" t="str">
        <x:v>Sperm, oocyte and embryo-related components</x:v>
      </x:c>
      <x:c r="W43" s="2296" t="str">
        <x:v>Separate diagnosis, organ/site and procedure components before estimating sex comparisons. Do not assign the entire row to one sex.</x:v>
      </x:c>
      <x:c r="X43" s="2296" t="str">
        <x:v>Do not combine gamete collection, assisted reproduction and storage into an assumed identical service.</x:v>
      </x:c>
    </x:row>
    <x:row r="44" ht="117" customHeight="1">
      <x:c r="A44" s="2298" t="str">
        <x:v>G13</x:v>
      </x:c>
      <x:c r="B44" s="2298" t="str">
        <x:v>Elective sterilization for pregnancy prevention</x:v>
      </x:c>
      <x:c r="C44" s="2304" t="str">
        <x:v>Excluded for this use</x:v>
      </x:c>
      <x:c r="D44" s="2298" t="str">
        <x:v>A/B</x:v>
      </x:c>
      <x:c r="E44" s="2298" t="str">
        <x:v>Sterilization alone</x:v>
      </x:c>
      <x:c r="F44" s="2298" t="str">
        <x:v>Beneficiaries seeking vasectomy or tubal sterilization</x:v>
      </x:c>
      <x:c r="G44" s="2298" t="str">
        <x:v>Contraception</x:v>
      </x:c>
      <x:c r="H44" s="2298" t="str">
        <x:v>Longstanding national policy; effective date not posted.</x:v>
      </x:c>
      <x:c r="I44" s="2298" t="str">
        <x:v>NCD 230.3 excludes elective procedures solely for sterilization. Surgery causing sterility can be covered when necessary to treat illness or injury. This applies to male and female procedures.</x:v>
      </x:c>
      <x:c r="J44" s="2298" t="str">
        <x:v>Vasectomy versus tubal sterilization; prevention versus treatment indication.</x:v>
      </x:c>
      <x:c r="K44" s="2298" t="str">
        <x:v>Explicit shared exclusion; it does not mean the burdens or alternative options are equivalent.</x:v>
      </x:c>
      <x:c r="L44" s="2298" t="str">
        <x:v>National exclusion; Medicare contraceptive-utilization research</x:v>
      </x:c>
      <x:c r="M44" s="2298" t="str">
        <x:v>Do not infer that necessary cancer surgery or all hysterectomies are excluded.</x:v>
      </x:c>
      <x:c r="N44" s="2298" t="str">
        <x:v>Compare out-of-pocket burden, available alternatives and MA/Medicaid supplemental coverage.</x:v>
      </x:c>
      <x:c r="O44" s="2298" t="str">
        <x:v>L-G09, L-G10</x:v>
      </x:c>
      <x:c r="P44" s="2299" t="n">
        <x:v>46281.5</x:v>
      </x:c>
      <x:c r="Q44" s="2294" t="str"/>
      <x:c r="R44" s="2301" t="str">
        <x:v>https://www.cms.gov/medicare-coverage-database/view/ncd.aspx?ncdid=13</x:v>
      </x:c>
      <x:c r="S44" s="2301" t="str"/>
      <x:c r="T44" s="2307" t="str"/>
      <x:c r="U44" s="2302" t="str">
        <x:v>Mixed or site-dependent</x:v>
      </x:c>
      <x:c r="V44" s="2302" t="str">
        <x:v>Vasectomy and tubal sterilization components</x:v>
      </x:c>
      <x:c r="W44" s="2302" t="str">
        <x:v>Separate diagnosis, organ/site and procedure components before estimating sex comparisons. Do not assign the entire row to one sex.</x:v>
      </x:c>
      <x:c r="X44" s="2302" t="str">
        <x:v>A shared preventive purpose does not establish identical operative work or resources.</x:v>
      </x:c>
    </x:row>
    <x:row r="45" ht="117" customHeight="1">
      <x:c r="A45" s="2292" t="str">
        <x:v>G14</x:v>
      </x:c>
      <x:c r="B45" s="2292" t="str">
        <x:v>Prescription contraceptive pills, patches and rings</x:v>
      </x:c>
      <x:c r="C45" s="2303" t="str">
        <x:v>Plan dependent</x:v>
      </x:c>
      <x:c r="D45" s="2292" t="str">
        <x:v>D</x:v>
      </x:c>
      <x:c r="E45" s="2292" t="str">
        <x:v>Pregnancy prevention or noncontraceptive medical treatment</x:v>
      </x:c>
      <x:c r="F45" s="2292" t="str">
        <x:v>Reproductive-age beneficiaries</x:v>
      </x:c>
      <x:c r="G45" s="2292" t="str">
        <x:v>Contraception</x:v>
      </x:c>
      <x:c r="H45" s="2292" t="str">
        <x:v>Part D framework; no exhaustive 2026 formulary inventory completed.</x:v>
      </x:c>
      <x:c r="I45" s="2292" t="str">
        <x:v>Do not extend Part B device exclusions to all Part D contraceptive drugs. Product, indication, formulary placement, utilization rules and cost sharing require plan-level review; universal no-cost coverage was not established.</x:v>
      </x:c>
      <x:c r="J45" s="2292" t="str">
        <x:v>Same product for prevention versus menstrual or other medical indications.</x:v>
      </x:c>
      <x:c r="K45" s="2292" t="str">
        <x:v>Gaining dual coverage was associated with higher contraceptive use, especially short-acting methods.</x:v>
      </x:c>
      <x:c r="L45" s="2292" t="str">
        <x:v>Plan-specific benefit framework; Medicare quasi-experimental access evidence</x:v>
      </x:c>
      <x:c r="M45" s="2292" t="str">
        <x:v>Claims capture reimbursed dispensing and may miss cash purchases or unfilled prescriptions.</x:v>
      </x:c>
      <x:c r="N45" s="2292" t="str">
        <x:v>Audit current product-level formularies, indications, rejections and patient costs.</x:v>
      </x:c>
      <x:c r="O45" s="2292" t="str">
        <x:v>L-G09, L-G10</x:v>
      </x:c>
      <x:c r="P45" s="2293" t="n">
        <x:v>46281.5</x:v>
      </x:c>
      <x:c r="Q45" s="2294" t="str"/>
      <x:c r="R45" s="2295" t="str">
        <x:v>https://www.medicare.gov/coverage/prescription-drugs-outpatient</x:v>
      </x:c>
      <x:c r="S45" s="2295" t="str"/>
      <x:c r="T45" s="2307" t="str"/>
      <x:c r="U45" s="2296" t="str">
        <x:v>Female reproductive physiology</x:v>
      </x:c>
      <x:c r="V45" s="2296" t="str">
        <x:v>Ovulation/pregnancy prevention or menstrual treatment</x:v>
      </x:c>
      <x:c r="W45" s="2296" t="str">
        <x:v>Compare access among clinically eligible patients and alternative treatments. Analyze reproductive physiology separately from organ-specific procedures.</x:v>
      </x:c>
      <x:c r="X45" s="2296" t="str">
        <x:v>Separate each product and preventive or therapeutic indication; physiology and benefit purpose are distinct.</x:v>
      </x:c>
    </x:row>
    <x:row r="46" ht="117" customHeight="1">
      <x:c r="A46" s="2298" t="str">
        <x:v>G15</x:v>
      </x:c>
      <x:c r="B46" s="2298" t="str">
        <x:v>Drugs used to promote fertility</x:v>
      </x:c>
      <x:c r="C46" s="2304" t="str">
        <x:v>Excluded for this use</x:v>
      </x:c>
      <x:c r="D46" s="2298" t="str">
        <x:v>D</x:v>
      </x:c>
      <x:c r="E46" s="2298" t="str">
        <x:v>Promotion of fertility</x:v>
      </x:c>
      <x:c r="F46" s="2298" t="str">
        <x:v>Beneficiaries seeking medication-assisted fertility treatment</x:v>
      </x:c>
      <x:c r="G46" s="2298" t="str">
        <x:v>Fertility</x:v>
      </x:c>
      <x:c r="H46" s="2298" t="str">
        <x:v>National Part D exclusion; chapter 6 sections 20.1 and 20.3</x:v>
      </x:c>
      <x:c r="I46" s="2298" t="str">
        <x:v>Drugs used to promote fertility are excluded from basic Part D. Supplemental drug benefits may cover excluded drugs. A different medically accepted indication requires separate assessment.</x:v>
      </x:c>
      <x:c r="J46" s="2298" t="str">
        <x:v>Drug benefit exclusion versus potentially covered medically necessary infertility services</x:v>
      </x:c>
      <x:c r="K46" s="2298" t="str">
        <x:v>The exclusion is indication-based. This review did not establish comparative male/female claim or patient-cost effects.</x:v>
      </x:c>
      <x:c r="L46" s="2298" t="str">
        <x:v>Explicit national drug exclusion; disparity evidence gap</x:v>
      </x:c>
      <x:c r="M46" s="2298" t="str">
        <x:v>Do not extrapolate this drug exclusion to every infertility procedure or treatment of an underlying condition.</x:v>
      </x:c>
      <x:c r="N46" s="2298" t="str">
        <x:v>Compare patient costs and supplemental benefits by therapy, underlying condition and sex.</x:v>
      </x:c>
      <x:c r="O46" s="2298" t="str"/>
      <x:c r="P46" s="2299" t="n">
        <x:v>46281.5</x:v>
      </x:c>
      <x:c r="Q46" s="2294" t="str"/>
      <x:c r="R46" s="2301" t="str">
        <x:v>https://www.cms.gov/Medicare/Prescription-Drug-Coverage/PrescriptionDrugCovContra/Downloads/Part-D-Benefits-Manual-Chapter-6.pdf</x:v>
      </x:c>
      <x:c r="S46" s="2301" t="str"/>
      <x:c r="T46" s="2307" t="str"/>
      <x:c r="U46" s="2302" t="str">
        <x:v>Mixed or site-dependent</x:v>
      </x:c>
      <x:c r="V46" s="2302" t="str">
        <x:v>Fertility treatment can involve different reproductive functions</x:v>
      </x:c>
      <x:c r="W46" s="2302" t="str">
        <x:v>Separate diagnosis, organ/site and procedure components before estimating sex comparisons. Do not assign the entire row to one sex.</x:v>
      </x:c>
      <x:c r="X46" s="2302" t="str">
        <x:v>Identify the drug and male- or female-factor indication before anatomy-specific synthesis.</x:v>
      </x:c>
    </x:row>
    <x:row r="47" ht="117" customHeight="1">
      <x:c r="A47" s="2292" t="str">
        <x:v>A01</x:v>
      </x:c>
      <x:c r="B47" s="2292" t="str">
        <x:v>Lymphedema compression garments, wraps and bandaging supplies</x:v>
      </x:c>
      <x:c r="C47" s="2297" t="str">
        <x:v>Covered with conditions</x:v>
      </x:c>
      <x:c r="D47" s="2292" t="str">
        <x:v>B</x:v>
      </x:c>
      <x:c r="E47" s="2292" t="str">
        <x:v>Diagnosed lymphedema with a clinician order</x:v>
      </x:c>
      <x:c r="F47" s="2292" t="str">
        <x:v>Any sex; includes breast-cancer survivors</x:v>
      </x:c>
      <x:c r="G47" s="2292" t="str">
        <x:v>Cancer survivorship / lymphedema</x:v>
      </x:c>
      <x:c r="H47" s="2292" t="str">
        <x:v>National benefit since 2024; checked September 16, 2026</x:v>
      </x:c>
      <x:c r="I47" s="2292" t="str">
        <x:v>A dedicated benefit began January 1, 2024. Eligible prescribed garments, wraps and supplies are covered. Part B deductible and 20% coinsurance generally apply.</x:v>
      </x:c>
      <x:c r="J47" s="2292" t="str">
        <x:v>Historical coverage gap versus current benefit; lymphedema versus no lymphedema</x:v>
      </x:c>
      <x:c r="K47" s="2292" t="str">
        <x:v>A 2015 cost-diary study found higher patient costs among breast-cancer survivors with lymphedema. It predates the new benefit.</x:v>
      </x:c>
      <x:c r="L47" s="2292" t="str">
        <x:v>National coverage change; observational patient-cost evidence</x:v>
      </x:c>
      <x:c r="M47" s="2292" t="str">
        <x:v>No male/female matched comparison. Coverage does not remove all out-of-pocket costs.</x:v>
      </x:c>
      <x:c r="N47" s="2292" t="str">
        <x:v>Have costs, use and claim denials changed since the 2024 benefit?</x:v>
      </x:c>
      <x:c r="O47" s="2292" t="str">
        <x:v>L-A01, L-A02</x:v>
      </x:c>
      <x:c r="P47" s="2293" t="n">
        <x:v>46281.5</x:v>
      </x:c>
      <x:c r="Q47" s="2294" t="str"/>
      <x:c r="R47" s="2295" t="str">
        <x:v>https://www.medicare.gov/coverage/lymphedema-compression-treatment-items</x:v>
      </x:c>
      <x:c r="S47" s="2295" t="str">
        <x:v>https://www.cms.gov/medicare/regulations-guidance/transmittals/2024-transmittals/r12532bp</x:v>
      </x:c>
      <x:c r="T47" s="2307" t="str"/>
      <x:c r="U47" s="2296" t="str">
        <x:v>Shared body systems / functions</x:v>
      </x:c>
      <x:c r="V47" s="2296" t="str">
        <x:v>Shared lymphatic system; includes breast-cancer sequelae</x:v>
      </x:c>
      <x:c r="W47" s="2296" t="str">
        <x:v>Compare women and men with comparable clinical need, including unmet care, within the same condition and service. Assess clinical eligibility independently of reimbursement rules.</x:v>
      </x:c>
      <x:c r="X47" s="2296" t="str">
        <x:v>A breast-cancer-survivor sample does not make lymphedema a female-exclusive condition. Preserve etiology and patient population.</x:v>
      </x:c>
    </x:row>
    <x:row r="48" ht="117" customHeight="1">
      <x:c r="A48" s="2298" t="str">
        <x:v>A02</x:v>
      </x:c>
      <x:c r="B48" s="2298" t="str">
        <x:v>Home pneumatic compression pump</x:v>
      </x:c>
      <x:c r="C48" s="2297" t="str">
        <x:v>Covered with conditions</x:v>
      </x:c>
      <x:c r="D48" s="2298" t="str">
        <x:v>B / DME</x:v>
      </x:c>
      <x:c r="E48" s="2298" t="str">
        <x:v>Lymphedema persisting after conservative therapy</x:v>
      </x:c>
      <x:c r="F48" s="2298" t="str">
        <x:v>Any sex; includes cancer-related lymphedema</x:v>
      </x:c>
      <x:c r="G48" s="2298" t="str">
        <x:v>Cancer survivorship / lymphedema</x:v>
      </x:c>
      <x:c r="H48" s="2298" t="str">
        <x:v>National NCD 280.6; checked September 16, 2026</x:v>
      </x:c>
      <x:c r="I48" s="2298" t="str">
        <x:v>NCD 280.6 allows home pumps after a four-week conservative trial with no significant improvement or significant remaining symptoms. Advanced devices have additional requirements.</x:v>
      </x:c>
      <x:c r="J48" s="2298" t="str">
        <x:v>Standard versus advanced devices; coverage versus practical access</x:v>
      </x:c>
      <x:c r="K48" s="2298" t="str">
        <x:v>A 2022 review found varied insurer policies. Those insurer-level results do not establish Medicare denial rates.</x:v>
      </x:c>
      <x:c r="L48" s="2298" t="str">
        <x:v>National conditional coverage; broader insurer policy analysis</x:v>
      </x:c>
      <x:c r="M48" s="2298" t="str">
        <x:v>Policy presence is not claim approval, access or a sex-based payment comparison.</x:v>
      </x:c>
      <x:c r="N48" s="2298" t="str">
        <x:v>Compare denial reasons, device requirements and patient costs across indications and sexes.</x:v>
      </x:c>
      <x:c r="O48" s="2298" t="str">
        <x:v>L-A02</x:v>
      </x:c>
      <x:c r="P48" s="2299" t="n">
        <x:v>46281.5</x:v>
      </x:c>
      <x:c r="Q48" s="2294" t="str"/>
      <x:c r="R48" s="2301" t="str">
        <x:v>https://www.cms.gov/medicare-coverage-database/view/ncd.aspx?NCDId=225</x:v>
      </x:c>
      <x:c r="S48" s="2301" t="str"/>
      <x:c r="T48" s="2307" t="str"/>
      <x:c r="U48" s="2302" t="str">
        <x:v>Shared body systems / functions</x:v>
      </x:c>
      <x:c r="V48" s="2302" t="str">
        <x:v>Shared lymphatic system</x:v>
      </x:c>
      <x:c r="W48" s="2302" t="str">
        <x:v>Compare women and men with comparable clinical need, including unmet care, within the same condition and service. Assess clinical eligibility independently of reimbursement rules.</x:v>
      </x:c>
      <x:c r="X48" s="2302" t="str">
        <x:v>Compare access by indication, clinical severity and device requirements; analyze sex-related burden separately.</x:v>
      </x:c>
    </x:row>
    <x:row r="49" ht="117" customHeight="1">
      <x:c r="A49" s="214"/>
      <x:c r="B49" s="214"/>
      <x:c r="C49" s="214"/>
      <x:c r="D49" s="214"/>
      <x:c r="E49" s="214"/>
      <x:c r="F49" s="214"/>
      <x:c r="G49" s="214"/>
      <x:c r="H49" s="214"/>
      <x:c r="I49" s="214"/>
      <x:c r="J49" s="214"/>
      <x:c r="K49" s="214"/>
      <x:c r="L49" s="214"/>
      <x:c r="M49" s="214"/>
      <x:c r="N49" s="214"/>
      <x:c r="O49" s="214"/>
      <x:c r="P49" s="221"/>
      <x:c r="Q49" s="227"/>
      <x:c r="R49" s="231"/>
      <x:c r="S49" s="231"/>
      <x:c r="T49" s="233"/>
    </x:row>
    <x:row r="50" ht="117" customHeight="1">
      <x:c r="A50" s="225"/>
      <x:c r="B50" s="225"/>
      <x:c r="C50" s="225"/>
      <x:c r="D50" s="225"/>
      <x:c r="E50" s="225"/>
      <x:c r="F50" s="225"/>
      <x:c r="G50" s="225"/>
      <x:c r="H50" s="225"/>
      <x:c r="I50" s="225"/>
      <x:c r="J50" s="225"/>
      <x:c r="K50" s="225"/>
      <x:c r="L50" s="225"/>
      <x:c r="M50" s="225"/>
      <x:c r="N50" s="225"/>
      <x:c r="O50" s="225"/>
      <x:c r="P50" s="230"/>
      <x:c r="Q50" s="227"/>
      <x:c r="R50" s="232"/>
      <x:c r="S50" s="232"/>
      <x:c r="T50" s="233"/>
    </x:row>
    <x:row r="51" ht="117" customHeight="1">
      <x:c r="A51" s="214"/>
      <x:c r="B51" s="214"/>
      <x:c r="C51" s="214"/>
      <x:c r="D51" s="214"/>
      <x:c r="E51" s="214"/>
      <x:c r="F51" s="214"/>
      <x:c r="G51" s="214"/>
      <x:c r="H51" s="214"/>
      <x:c r="I51" s="214"/>
      <x:c r="J51" s="214"/>
      <x:c r="K51" s="214"/>
      <x:c r="L51" s="214"/>
      <x:c r="M51" s="214"/>
      <x:c r="N51" s="214"/>
      <x:c r="O51" s="214"/>
      <x:c r="P51" s="221"/>
      <x:c r="Q51" s="227"/>
      <x:c r="R51" s="231"/>
      <x:c r="S51" s="231"/>
      <x:c r="T51" s="233"/>
    </x:row>
    <x:row r="52">
      <x:c r="A52" s="214"/>
      <x:c r="B52" s="214"/>
      <x:c r="C52" s="214"/>
      <x:c r="D52" s="214"/>
      <x:c r="E52" s="214"/>
      <x:c r="F52" s="214"/>
      <x:c r="G52" s="214"/>
      <x:c r="H52" s="214"/>
      <x:c r="I52" s="214"/>
      <x:c r="J52" s="214"/>
      <x:c r="K52" s="214"/>
      <x:c r="L52" s="214"/>
      <x:c r="M52" s="214"/>
      <x:c r="N52" s="214"/>
      <x:c r="O52" s="214"/>
      <x:c r="P52" s="214"/>
      <x:c r="Q52" s="214"/>
      <x:c r="R52" s="214"/>
      <x:c r="S52" s="214"/>
      <x:c r="T52" s="214"/>
    </x:row>
    <x:row r="53">
      <x:c r="A53" s="214"/>
      <x:c r="B53" s="214"/>
      <x:c r="C53" s="214"/>
      <x:c r="D53" s="214"/>
      <x:c r="E53" s="214"/>
      <x:c r="F53" s="214"/>
      <x:c r="G53" s="214"/>
      <x:c r="H53" s="214"/>
      <x:c r="I53" s="214"/>
      <x:c r="J53" s="214"/>
      <x:c r="K53" s="214"/>
      <x:c r="L53" s="214"/>
      <x:c r="M53" s="214"/>
      <x:c r="N53" s="214"/>
      <x:c r="O53" s="214"/>
      <x:c r="P53" s="214"/>
      <x:c r="Q53" s="214"/>
      <x:c r="R53" s="214"/>
      <x:c r="S53" s="214"/>
      <x:c r="T53" s="214"/>
    </x:row>
    <x:row r="54">
      <x:c r="A54" s="214"/>
      <x:c r="B54" s="214"/>
      <x:c r="C54" s="214"/>
      <x:c r="D54" s="214"/>
      <x:c r="E54" s="214"/>
      <x:c r="F54" s="214"/>
      <x:c r="G54" s="214"/>
      <x:c r="H54" s="214"/>
      <x:c r="I54" s="214"/>
      <x:c r="J54" s="214"/>
      <x:c r="K54" s="214"/>
      <x:c r="L54" s="214"/>
      <x:c r="M54" s="214"/>
      <x:c r="N54" s="214"/>
      <x:c r="O54" s="214"/>
      <x:c r="P54" s="214"/>
      <x:c r="Q54" s="214"/>
      <x:c r="R54" s="214"/>
      <x:c r="S54" s="214"/>
      <x:c r="T54" s="214"/>
    </x:row>
    <x:row r="55">
      <x:c r="A55" s="214"/>
      <x:c r="B55" s="214"/>
      <x:c r="C55" s="214"/>
      <x:c r="D55" s="214"/>
      <x:c r="E55" s="214"/>
      <x:c r="F55" s="214"/>
      <x:c r="G55" s="214"/>
      <x:c r="H55" s="214"/>
      <x:c r="I55" s="214"/>
      <x:c r="J55" s="214"/>
      <x:c r="K55" s="214"/>
      <x:c r="L55" s="214"/>
      <x:c r="M55" s="214"/>
      <x:c r="N55" s="214"/>
      <x:c r="O55" s="214"/>
      <x:c r="P55" s="214"/>
      <x:c r="Q55" s="214"/>
      <x:c r="R55" s="214"/>
      <x:c r="S55" s="214"/>
      <x:c r="T55" s="214"/>
    </x:row>
    <x:row r="56">
      <x:c r="A56" s="214"/>
      <x:c r="B56" s="214"/>
      <x:c r="C56" s="214"/>
      <x:c r="D56" s="214"/>
      <x:c r="E56" s="214"/>
      <x:c r="F56" s="214"/>
      <x:c r="G56" s="214"/>
      <x:c r="H56" s="214"/>
      <x:c r="I56" s="214"/>
      <x:c r="J56" s="214"/>
      <x:c r="K56" s="214"/>
      <x:c r="L56" s="214"/>
      <x:c r="M56" s="214"/>
      <x:c r="N56" s="214"/>
      <x:c r="O56" s="214"/>
      <x:c r="P56" s="214"/>
      <x:c r="Q56" s="214"/>
      <x:c r="R56" s="214"/>
      <x:c r="S56" s="214"/>
      <x:c r="T56" s="214"/>
    </x:row>
    <x:row r="57">
      <x:c r="A57" s="214"/>
      <x:c r="B57" s="214"/>
      <x:c r="C57" s="214"/>
      <x:c r="D57" s="214"/>
      <x:c r="E57" s="214"/>
      <x:c r="F57" s="214"/>
      <x:c r="G57" s="214"/>
      <x:c r="H57" s="214"/>
      <x:c r="I57" s="214"/>
      <x:c r="J57" s="214"/>
      <x:c r="K57" s="214"/>
      <x:c r="L57" s="214"/>
      <x:c r="M57" s="214"/>
      <x:c r="N57" s="214"/>
      <x:c r="O57" s="214"/>
      <x:c r="P57" s="214"/>
      <x:c r="Q57" s="214"/>
      <x:c r="R57" s="214"/>
      <x:c r="S57" s="214"/>
      <x:c r="T57" s="214"/>
    </x:row>
    <x:row r="58">
      <x:c r="A58" s="214"/>
      <x:c r="B58" s="214"/>
      <x:c r="C58" s="214"/>
      <x:c r="D58" s="214"/>
      <x:c r="E58" s="214"/>
      <x:c r="F58" s="214"/>
      <x:c r="G58" s="214"/>
      <x:c r="H58" s="214"/>
      <x:c r="I58" s="214"/>
      <x:c r="J58" s="214"/>
      <x:c r="K58" s="214"/>
      <x:c r="L58" s="214"/>
      <x:c r="M58" s="214"/>
      <x:c r="N58" s="214"/>
      <x:c r="O58" s="214"/>
      <x:c r="P58" s="214"/>
      <x:c r="Q58" s="214"/>
      <x:c r="R58" s="214"/>
      <x:c r="S58" s="214"/>
      <x:c r="T58" s="214"/>
    </x:row>
    <x:row r="59">
      <x:c r="A59" s="214"/>
      <x:c r="B59" s="214"/>
      <x:c r="C59" s="214"/>
      <x:c r="D59" s="214"/>
      <x:c r="E59" s="214"/>
      <x:c r="F59" s="214"/>
      <x:c r="G59" s="214"/>
      <x:c r="H59" s="214"/>
      <x:c r="I59" s="214"/>
      <x:c r="J59" s="214"/>
      <x:c r="K59" s="214"/>
      <x:c r="L59" s="214"/>
      <x:c r="M59" s="214"/>
      <x:c r="N59" s="214"/>
      <x:c r="O59" s="214"/>
      <x:c r="P59" s="214"/>
      <x:c r="Q59" s="214"/>
      <x:c r="R59" s="214"/>
      <x:c r="S59" s="214"/>
      <x:c r="T59" s="214"/>
    </x:row>
    <x:row r="60">
      <x:c r="A60" s="214"/>
      <x:c r="B60" s="214"/>
      <x:c r="C60" s="214"/>
      <x:c r="D60" s="214"/>
      <x:c r="E60" s="214"/>
      <x:c r="F60" s="214"/>
      <x:c r="G60" s="214"/>
      <x:c r="H60" s="214"/>
      <x:c r="I60" s="214"/>
      <x:c r="J60" s="214"/>
      <x:c r="K60" s="214"/>
      <x:c r="L60" s="214"/>
      <x:c r="M60" s="214"/>
      <x:c r="N60" s="214"/>
      <x:c r="O60" s="214"/>
      <x:c r="P60" s="214"/>
      <x:c r="Q60" s="214"/>
      <x:c r="R60" s="214"/>
      <x:c r="S60" s="214"/>
      <x:c r="T60" s="214"/>
    </x:row>
    <x:row r="61">
      <x:c r="A61" s="214"/>
      <x:c r="B61" s="214"/>
      <x:c r="C61" s="214"/>
      <x:c r="D61" s="214"/>
      <x:c r="E61" s="214"/>
      <x:c r="F61" s="214"/>
      <x:c r="G61" s="214"/>
      <x:c r="H61" s="214"/>
      <x:c r="I61" s="214"/>
      <x:c r="J61" s="214"/>
      <x:c r="K61" s="214"/>
      <x:c r="L61" s="214"/>
      <x:c r="M61" s="214"/>
      <x:c r="N61" s="214"/>
      <x:c r="O61" s="214"/>
      <x:c r="P61" s="214"/>
      <x:c r="Q61" s="214"/>
      <x:c r="R61" s="214"/>
      <x:c r="S61" s="214"/>
      <x:c r="T61" s="214"/>
    </x:row>
    <x:row r="62">
      <x:c r="A62" s="214"/>
      <x:c r="B62" s="214"/>
      <x:c r="C62" s="214"/>
      <x:c r="D62" s="214"/>
      <x:c r="E62" s="214"/>
      <x:c r="F62" s="214"/>
      <x:c r="G62" s="214"/>
      <x:c r="H62" s="214"/>
      <x:c r="I62" s="214"/>
      <x:c r="J62" s="214"/>
      <x:c r="K62" s="214"/>
      <x:c r="L62" s="214"/>
      <x:c r="M62" s="214"/>
      <x:c r="N62" s="214"/>
      <x:c r="O62" s="214"/>
      <x:c r="P62" s="214"/>
      <x:c r="Q62" s="214"/>
      <x:c r="R62" s="214"/>
      <x:c r="S62" s="214"/>
      <x:c r="T62" s="214"/>
    </x:row>
    <x:row r="63">
      <x:c r="A63" s="214"/>
      <x:c r="B63" s="214"/>
      <x:c r="C63" s="214"/>
      <x:c r="D63" s="214"/>
      <x:c r="E63" s="214"/>
      <x:c r="F63" s="214"/>
      <x:c r="G63" s="214"/>
      <x:c r="H63" s="214"/>
      <x:c r="I63" s="214"/>
      <x:c r="J63" s="214"/>
      <x:c r="K63" s="214"/>
      <x:c r="L63" s="214"/>
      <x:c r="M63" s="214"/>
      <x:c r="N63" s="214"/>
      <x:c r="O63" s="214"/>
      <x:c r="P63" s="214"/>
      <x:c r="Q63" s="214"/>
      <x:c r="R63" s="214"/>
      <x:c r="S63" s="214"/>
      <x:c r="T63" s="214"/>
    </x:row>
    <x:row r="64">
      <x:c r="A64" s="214"/>
      <x:c r="B64" s="214"/>
      <x:c r="C64" s="214"/>
      <x:c r="D64" s="214"/>
      <x:c r="E64" s="214"/>
      <x:c r="F64" s="214"/>
      <x:c r="G64" s="214"/>
      <x:c r="H64" s="214"/>
      <x:c r="I64" s="214"/>
      <x:c r="J64" s="214"/>
      <x:c r="K64" s="214"/>
      <x:c r="L64" s="214"/>
      <x:c r="M64" s="214"/>
      <x:c r="N64" s="214"/>
      <x:c r="O64" s="214"/>
      <x:c r="P64" s="214"/>
      <x:c r="Q64" s="214"/>
      <x:c r="R64" s="214"/>
      <x:c r="S64" s="214"/>
      <x:c r="T64" s="214"/>
    </x:row>
    <x:row r="65">
      <x:c r="A65" s="214"/>
      <x:c r="B65" s="214"/>
      <x:c r="C65" s="214"/>
      <x:c r="D65" s="214"/>
      <x:c r="E65" s="214"/>
      <x:c r="F65" s="214"/>
      <x:c r="G65" s="214"/>
      <x:c r="H65" s="214"/>
      <x:c r="I65" s="214"/>
      <x:c r="J65" s="214"/>
      <x:c r="K65" s="214"/>
      <x:c r="L65" s="214"/>
      <x:c r="M65" s="214"/>
      <x:c r="N65" s="214"/>
      <x:c r="O65" s="214"/>
      <x:c r="P65" s="214"/>
      <x:c r="Q65" s="214"/>
      <x:c r="R65" s="214"/>
      <x:c r="S65" s="214"/>
      <x:c r="T65" s="214"/>
    </x:row>
    <x:row r="66">
      <x:c r="A66" s="214"/>
      <x:c r="B66" s="214"/>
      <x:c r="C66" s="214"/>
      <x:c r="D66" s="214"/>
      <x:c r="E66" s="214"/>
      <x:c r="F66" s="214"/>
      <x:c r="G66" s="214"/>
      <x:c r="H66" s="214"/>
      <x:c r="I66" s="214"/>
      <x:c r="J66" s="214"/>
      <x:c r="K66" s="214"/>
      <x:c r="L66" s="214"/>
      <x:c r="M66" s="214"/>
      <x:c r="N66" s="214"/>
      <x:c r="O66" s="214"/>
      <x:c r="P66" s="214"/>
      <x:c r="Q66" s="214"/>
      <x:c r="R66" s="214"/>
      <x:c r="S66" s="214"/>
      <x:c r="T66" s="214"/>
    </x:row>
    <x:row r="67">
      <x:c r="A67" s="214"/>
      <x:c r="B67" s="214"/>
      <x:c r="C67" s="214"/>
      <x:c r="D67" s="214"/>
      <x:c r="E67" s="214"/>
      <x:c r="F67" s="214"/>
      <x:c r="G67" s="214"/>
      <x:c r="H67" s="214"/>
      <x:c r="I67" s="214"/>
      <x:c r="J67" s="214"/>
      <x:c r="K67" s="214"/>
      <x:c r="L67" s="214"/>
      <x:c r="M67" s="214"/>
      <x:c r="N67" s="214"/>
      <x:c r="O67" s="214"/>
      <x:c r="P67" s="214"/>
      <x:c r="Q67" s="214"/>
      <x:c r="R67" s="214"/>
      <x:c r="S67" s="214"/>
      <x:c r="T67" s="214"/>
    </x:row>
    <x:row r="68">
      <x:c r="A68" s="214"/>
      <x:c r="B68" s="214"/>
      <x:c r="C68" s="214"/>
      <x:c r="D68" s="214"/>
      <x:c r="E68" s="214"/>
      <x:c r="F68" s="214"/>
      <x:c r="G68" s="214"/>
      <x:c r="H68" s="214"/>
      <x:c r="I68" s="214"/>
      <x:c r="J68" s="214"/>
      <x:c r="K68" s="214"/>
      <x:c r="L68" s="214"/>
      <x:c r="M68" s="214"/>
      <x:c r="N68" s="214"/>
      <x:c r="O68" s="214"/>
      <x:c r="P68" s="214"/>
      <x:c r="Q68" s="214"/>
      <x:c r="R68" s="214"/>
      <x:c r="S68" s="214"/>
      <x:c r="T68" s="214"/>
    </x:row>
    <x:row r="69">
      <x:c r="A69" s="214"/>
      <x:c r="B69" s="214"/>
      <x:c r="C69" s="214"/>
      <x:c r="D69" s="214"/>
      <x:c r="E69" s="214"/>
      <x:c r="F69" s="214"/>
      <x:c r="G69" s="214"/>
      <x:c r="H69" s="214"/>
      <x:c r="I69" s="214"/>
      <x:c r="J69" s="214"/>
      <x:c r="K69" s="214"/>
      <x:c r="L69" s="214"/>
      <x:c r="M69" s="214"/>
      <x:c r="N69" s="214"/>
      <x:c r="O69" s="214"/>
      <x:c r="P69" s="214"/>
      <x:c r="Q69" s="214"/>
      <x:c r="R69" s="214"/>
      <x:c r="S69" s="214"/>
      <x:c r="T69" s="214"/>
    </x:row>
    <x:row r="70">
      <x:c r="A70" s="214"/>
      <x:c r="B70" s="214"/>
      <x:c r="C70" s="214"/>
      <x:c r="D70" s="214"/>
      <x:c r="E70" s="214"/>
      <x:c r="F70" s="214"/>
      <x:c r="G70" s="214"/>
      <x:c r="H70" s="214"/>
      <x:c r="I70" s="214"/>
      <x:c r="J70" s="214"/>
      <x:c r="K70" s="214"/>
      <x:c r="L70" s="214"/>
      <x:c r="M70" s="214"/>
      <x:c r="N70" s="214"/>
      <x:c r="O70" s="214"/>
      <x:c r="P70" s="214"/>
      <x:c r="Q70" s="214"/>
      <x:c r="R70" s="214"/>
      <x:c r="S70" s="214"/>
      <x:c r="T70" s="214"/>
    </x:row>
    <x:row r="71">
      <x:c r="A71" s="214"/>
      <x:c r="B71" s="214"/>
      <x:c r="C71" s="214"/>
      <x:c r="D71" s="214"/>
      <x:c r="E71" s="214"/>
      <x:c r="F71" s="214"/>
      <x:c r="G71" s="214"/>
      <x:c r="H71" s="214"/>
      <x:c r="I71" s="214"/>
      <x:c r="J71" s="214"/>
      <x:c r="K71" s="214"/>
      <x:c r="L71" s="214"/>
      <x:c r="M71" s="214"/>
      <x:c r="N71" s="214"/>
      <x:c r="O71" s="214"/>
      <x:c r="P71" s="214"/>
      <x:c r="Q71" s="214"/>
      <x:c r="R71" s="214"/>
      <x:c r="S71" s="214"/>
      <x:c r="T71" s="214"/>
    </x:row>
    <x:row r="72">
      <x:c r="A72" s="214"/>
      <x:c r="B72" s="214"/>
      <x:c r="C72" s="214"/>
      <x:c r="D72" s="214"/>
      <x:c r="E72" s="214"/>
      <x:c r="F72" s="214"/>
      <x:c r="G72" s="214"/>
      <x:c r="H72" s="214"/>
      <x:c r="I72" s="214"/>
      <x:c r="J72" s="214"/>
      <x:c r="K72" s="214"/>
      <x:c r="L72" s="214"/>
      <x:c r="M72" s="214"/>
      <x:c r="N72" s="214"/>
      <x:c r="O72" s="214"/>
      <x:c r="P72" s="214"/>
      <x:c r="Q72" s="214"/>
      <x:c r="R72" s="214"/>
      <x:c r="S72" s="214"/>
      <x:c r="T72" s="214"/>
    </x:row>
    <x:row r="73">
      <x:c r="A73" s="214"/>
      <x:c r="B73" s="214"/>
      <x:c r="C73" s="214"/>
      <x:c r="D73" s="214"/>
      <x:c r="E73" s="214"/>
      <x:c r="F73" s="214"/>
      <x:c r="G73" s="214"/>
      <x:c r="H73" s="214"/>
      <x:c r="I73" s="214"/>
      <x:c r="J73" s="214"/>
      <x:c r="K73" s="214"/>
      <x:c r="L73" s="214"/>
      <x:c r="M73" s="214"/>
      <x:c r="N73" s="214"/>
      <x:c r="O73" s="214"/>
      <x:c r="P73" s="214"/>
      <x:c r="Q73" s="214"/>
      <x:c r="R73" s="214"/>
      <x:c r="S73" s="214"/>
      <x:c r="T73" s="214"/>
    </x:row>
    <x:row r="74">
      <x:c r="A74" s="214"/>
      <x:c r="B74" s="214"/>
      <x:c r="C74" s="214"/>
      <x:c r="D74" s="214"/>
      <x:c r="E74" s="214"/>
      <x:c r="F74" s="214"/>
      <x:c r="G74" s="214"/>
      <x:c r="H74" s="214"/>
      <x:c r="I74" s="214"/>
      <x:c r="J74" s="214"/>
      <x:c r="K74" s="214"/>
      <x:c r="L74" s="214"/>
      <x:c r="M74" s="214"/>
      <x:c r="N74" s="214"/>
      <x:c r="O74" s="214"/>
      <x:c r="P74" s="214"/>
      <x:c r="Q74" s="214"/>
      <x:c r="R74" s="214"/>
      <x:c r="S74" s="214"/>
      <x:c r="T74" s="214"/>
    </x:row>
    <x:row r="75">
      <x:c r="A75" s="214"/>
      <x:c r="B75" s="214"/>
      <x:c r="C75" s="214"/>
      <x:c r="D75" s="214"/>
      <x:c r="E75" s="214"/>
      <x:c r="F75" s="214"/>
      <x:c r="G75" s="214"/>
      <x:c r="H75" s="214"/>
      <x:c r="I75" s="214"/>
      <x:c r="J75" s="214"/>
      <x:c r="K75" s="214"/>
      <x:c r="L75" s="214"/>
      <x:c r="M75" s="214"/>
      <x:c r="N75" s="214"/>
      <x:c r="O75" s="214"/>
      <x:c r="P75" s="214"/>
      <x:c r="Q75" s="214"/>
      <x:c r="R75" s="214"/>
      <x:c r="S75" s="214"/>
      <x:c r="T75" s="214"/>
    </x:row>
    <x:row r="76">
      <x:c r="A76" s="214"/>
      <x:c r="B76" s="214"/>
      <x:c r="C76" s="214"/>
      <x:c r="D76" s="214"/>
      <x:c r="E76" s="214"/>
      <x:c r="F76" s="214"/>
      <x:c r="G76" s="214"/>
      <x:c r="H76" s="214"/>
      <x:c r="I76" s="214"/>
      <x:c r="J76" s="214"/>
      <x:c r="K76" s="214"/>
      <x:c r="L76" s="214"/>
      <x:c r="M76" s="214"/>
      <x:c r="N76" s="214"/>
      <x:c r="O76" s="214"/>
      <x:c r="P76" s="214"/>
      <x:c r="Q76" s="214"/>
      <x:c r="R76" s="214"/>
      <x:c r="S76" s="214"/>
      <x:c r="T76" s="214"/>
    </x:row>
    <x:row r="77">
      <x:c r="A77" s="214"/>
      <x:c r="B77" s="214"/>
      <x:c r="C77" s="214"/>
      <x:c r="D77" s="214"/>
      <x:c r="E77" s="214"/>
      <x:c r="F77" s="214"/>
      <x:c r="G77" s="214"/>
      <x:c r="H77" s="214"/>
      <x:c r="I77" s="214"/>
      <x:c r="J77" s="214"/>
      <x:c r="K77" s="214"/>
      <x:c r="L77" s="214"/>
      <x:c r="M77" s="214"/>
      <x:c r="N77" s="214"/>
      <x:c r="O77" s="214"/>
      <x:c r="P77" s="214"/>
      <x:c r="Q77" s="214"/>
      <x:c r="R77" s="214"/>
      <x:c r="S77" s="214"/>
      <x:c r="T77" s="214"/>
    </x:row>
    <x:row r="78">
      <x:c r="A78" s="214"/>
      <x:c r="B78" s="214"/>
      <x:c r="C78" s="214"/>
      <x:c r="D78" s="214"/>
      <x:c r="E78" s="214"/>
      <x:c r="F78" s="214"/>
      <x:c r="G78" s="214"/>
      <x:c r="H78" s="214"/>
      <x:c r="I78" s="214"/>
      <x:c r="J78" s="214"/>
      <x:c r="K78" s="214"/>
      <x:c r="L78" s="214"/>
      <x:c r="M78" s="214"/>
      <x:c r="N78" s="214"/>
      <x:c r="O78" s="214"/>
      <x:c r="P78" s="214"/>
      <x:c r="Q78" s="214"/>
      <x:c r="R78" s="214"/>
      <x:c r="S78" s="214"/>
      <x:c r="T78" s="214"/>
    </x:row>
    <x:row r="79">
      <x:c r="A79" s="214"/>
      <x:c r="B79" s="214"/>
      <x:c r="C79" s="214"/>
      <x:c r="D79" s="214"/>
      <x:c r="E79" s="214"/>
      <x:c r="F79" s="214"/>
      <x:c r="G79" s="214"/>
      <x:c r="H79" s="214"/>
      <x:c r="I79" s="214"/>
      <x:c r="J79" s="214"/>
      <x:c r="K79" s="214"/>
      <x:c r="L79" s="214"/>
      <x:c r="M79" s="214"/>
      <x:c r="N79" s="214"/>
      <x:c r="O79" s="214"/>
      <x:c r="P79" s="214"/>
      <x:c r="Q79" s="214"/>
      <x:c r="R79" s="214"/>
      <x:c r="S79" s="214"/>
      <x:c r="T79" s="214"/>
    </x:row>
    <x:row r="80">
      <x:c r="A80" s="214"/>
      <x:c r="B80" s="214"/>
      <x:c r="C80" s="214"/>
      <x:c r="D80" s="214"/>
      <x:c r="E80" s="214"/>
      <x:c r="F80" s="214"/>
      <x:c r="G80" s="214"/>
      <x:c r="H80" s="214"/>
      <x:c r="I80" s="214"/>
      <x:c r="J80" s="214"/>
      <x:c r="K80" s="214"/>
      <x:c r="L80" s="214"/>
      <x:c r="M80" s="214"/>
      <x:c r="N80" s="214"/>
      <x:c r="O80" s="214"/>
      <x:c r="P80" s="214"/>
      <x:c r="Q80" s="214"/>
      <x:c r="R80" s="214"/>
      <x:c r="S80" s="214"/>
      <x:c r="T80" s="214"/>
    </x:row>
    <x:row r="81">
      <x:c r="A81" s="214"/>
      <x:c r="B81" s="214"/>
      <x:c r="C81" s="214"/>
      <x:c r="D81" s="214"/>
      <x:c r="E81" s="214"/>
      <x:c r="F81" s="214"/>
      <x:c r="G81" s="214"/>
      <x:c r="H81" s="214"/>
      <x:c r="I81" s="214"/>
      <x:c r="J81" s="214"/>
      <x:c r="K81" s="214"/>
      <x:c r="L81" s="214"/>
      <x:c r="M81" s="214"/>
      <x:c r="N81" s="214"/>
      <x:c r="O81" s="214"/>
      <x:c r="P81" s="214"/>
      <x:c r="Q81" s="214"/>
      <x:c r="R81" s="214"/>
      <x:c r="S81" s="214"/>
      <x:c r="T81" s="214"/>
    </x:row>
    <x:row r="82">
      <x:c r="A82" s="214"/>
      <x:c r="B82" s="214"/>
      <x:c r="C82" s="214"/>
      <x:c r="D82" s="214"/>
      <x:c r="E82" s="214"/>
      <x:c r="F82" s="214"/>
      <x:c r="G82" s="214"/>
      <x:c r="H82" s="214"/>
      <x:c r="I82" s="214"/>
      <x:c r="J82" s="214"/>
      <x:c r="K82" s="214"/>
      <x:c r="L82" s="214"/>
      <x:c r="M82" s="214"/>
      <x:c r="N82" s="214"/>
      <x:c r="O82" s="214"/>
      <x:c r="P82" s="214"/>
      <x:c r="Q82" s="214"/>
      <x:c r="R82" s="214"/>
      <x:c r="S82" s="214"/>
      <x:c r="T82" s="214"/>
    </x:row>
    <x:row r="83">
      <x:c r="A83" s="214"/>
      <x:c r="B83" s="214"/>
      <x:c r="C83" s="214"/>
      <x:c r="D83" s="214"/>
      <x:c r="E83" s="214"/>
      <x:c r="F83" s="214"/>
      <x:c r="G83" s="214"/>
      <x:c r="H83" s="214"/>
      <x:c r="I83" s="214"/>
      <x:c r="J83" s="214"/>
      <x:c r="K83" s="214"/>
      <x:c r="L83" s="214"/>
      <x:c r="M83" s="214"/>
      <x:c r="N83" s="214"/>
      <x:c r="O83" s="214"/>
      <x:c r="P83" s="214"/>
      <x:c r="Q83" s="214"/>
      <x:c r="R83" s="214"/>
      <x:c r="S83" s="214"/>
      <x:c r="T83" s="214"/>
    </x:row>
    <x:row r="84">
      <x:c r="A84" s="214"/>
      <x:c r="B84" s="214"/>
      <x:c r="C84" s="214"/>
      <x:c r="D84" s="214"/>
      <x:c r="E84" s="214"/>
      <x:c r="F84" s="214"/>
      <x:c r="G84" s="214"/>
      <x:c r="H84" s="214"/>
      <x:c r="I84" s="214"/>
      <x:c r="J84" s="214"/>
      <x:c r="K84" s="214"/>
      <x:c r="L84" s="214"/>
      <x:c r="M84" s="214"/>
      <x:c r="N84" s="214"/>
      <x:c r="O84" s="214"/>
      <x:c r="P84" s="214"/>
      <x:c r="Q84" s="214"/>
      <x:c r="R84" s="214"/>
      <x:c r="S84" s="214"/>
      <x:c r="T84" s="214"/>
    </x:row>
    <x:row r="85">
      <x:c r="A85" s="214"/>
      <x:c r="B85" s="214"/>
      <x:c r="C85" s="214"/>
      <x:c r="D85" s="214"/>
      <x:c r="E85" s="214"/>
      <x:c r="F85" s="214"/>
      <x:c r="G85" s="214"/>
      <x:c r="H85" s="214"/>
      <x:c r="I85" s="214"/>
      <x:c r="J85" s="214"/>
      <x:c r="K85" s="214"/>
      <x:c r="L85" s="214"/>
      <x:c r="M85" s="214"/>
      <x:c r="N85" s="214"/>
      <x:c r="O85" s="214"/>
      <x:c r="P85" s="214"/>
      <x:c r="Q85" s="214"/>
      <x:c r="R85" s="214"/>
      <x:c r="S85" s="214"/>
      <x:c r="T85" s="214"/>
    </x:row>
    <x:row r="86">
      <x:c r="A86" s="214"/>
      <x:c r="B86" s="214"/>
      <x:c r="C86" s="214"/>
      <x:c r="D86" s="214"/>
      <x:c r="E86" s="214"/>
      <x:c r="F86" s="214"/>
      <x:c r="G86" s="214"/>
      <x:c r="H86" s="214"/>
      <x:c r="I86" s="214"/>
      <x:c r="J86" s="214"/>
      <x:c r="K86" s="214"/>
      <x:c r="L86" s="214"/>
      <x:c r="M86" s="214"/>
      <x:c r="N86" s="214"/>
      <x:c r="O86" s="214"/>
      <x:c r="P86" s="214"/>
      <x:c r="Q86" s="214"/>
      <x:c r="R86" s="214"/>
      <x:c r="S86" s="214"/>
      <x:c r="T86" s="214"/>
    </x:row>
    <x:row r="87">
      <x:c r="A87" s="214"/>
      <x:c r="B87" s="214"/>
      <x:c r="C87" s="214"/>
      <x:c r="D87" s="214"/>
      <x:c r="E87" s="214"/>
      <x:c r="F87" s="214"/>
      <x:c r="G87" s="214"/>
      <x:c r="H87" s="214"/>
      <x:c r="I87" s="214"/>
      <x:c r="J87" s="214"/>
      <x:c r="K87" s="214"/>
      <x:c r="L87" s="214"/>
      <x:c r="M87" s="214"/>
      <x:c r="N87" s="214"/>
      <x:c r="O87" s="214"/>
      <x:c r="P87" s="214"/>
      <x:c r="Q87" s="214"/>
      <x:c r="R87" s="214"/>
      <x:c r="S87" s="214"/>
      <x:c r="T87" s="214"/>
    </x:row>
    <x:row r="88">
      <x:c r="A88" s="214"/>
      <x:c r="B88" s="214"/>
      <x:c r="C88" s="214"/>
      <x:c r="D88" s="214"/>
      <x:c r="E88" s="214"/>
      <x:c r="F88" s="214"/>
      <x:c r="G88" s="214"/>
      <x:c r="H88" s="214"/>
      <x:c r="I88" s="214"/>
      <x:c r="J88" s="214"/>
      <x:c r="K88" s="214"/>
      <x:c r="L88" s="214"/>
      <x:c r="M88" s="214"/>
      <x:c r="N88" s="214"/>
      <x:c r="O88" s="214"/>
      <x:c r="P88" s="214"/>
      <x:c r="Q88" s="214"/>
      <x:c r="R88" s="214"/>
      <x:c r="S88" s="214"/>
      <x:c r="T88" s="214"/>
    </x:row>
    <x:row r="89">
      <x:c r="A89" s="214"/>
      <x:c r="B89" s="214"/>
      <x:c r="C89" s="214"/>
      <x:c r="D89" s="214"/>
      <x:c r="E89" s="214"/>
      <x:c r="F89" s="214"/>
      <x:c r="G89" s="214"/>
      <x:c r="H89" s="214"/>
      <x:c r="I89" s="214"/>
      <x:c r="J89" s="214"/>
      <x:c r="K89" s="214"/>
      <x:c r="L89" s="214"/>
      <x:c r="M89" s="214"/>
      <x:c r="N89" s="214"/>
      <x:c r="O89" s="214"/>
      <x:c r="P89" s="214"/>
      <x:c r="Q89" s="214"/>
      <x:c r="R89" s="214"/>
      <x:c r="S89" s="214"/>
      <x:c r="T89" s="214"/>
    </x:row>
    <x:row r="90">
      <x:c r="A90" s="214"/>
      <x:c r="B90" s="214"/>
      <x:c r="C90" s="214"/>
      <x:c r="D90" s="214"/>
      <x:c r="E90" s="214"/>
      <x:c r="F90" s="214"/>
      <x:c r="G90" s="214"/>
      <x:c r="H90" s="214"/>
      <x:c r="I90" s="214"/>
      <x:c r="J90" s="214"/>
      <x:c r="K90" s="214"/>
      <x:c r="L90" s="214"/>
      <x:c r="M90" s="214"/>
      <x:c r="N90" s="214"/>
      <x:c r="O90" s="214"/>
      <x:c r="P90" s="214"/>
      <x:c r="Q90" s="214"/>
      <x:c r="R90" s="214"/>
      <x:c r="S90" s="214"/>
      <x:c r="T90" s="214"/>
    </x:row>
    <x:row r="91">
      <x:c r="A91" s="214"/>
      <x:c r="B91" s="214"/>
      <x:c r="C91" s="214"/>
      <x:c r="D91" s="214"/>
      <x:c r="E91" s="214"/>
      <x:c r="F91" s="214"/>
      <x:c r="G91" s="214"/>
      <x:c r="H91" s="214"/>
      <x:c r="I91" s="214"/>
      <x:c r="J91" s="214"/>
      <x:c r="K91" s="214"/>
      <x:c r="L91" s="214"/>
      <x:c r="M91" s="214"/>
      <x:c r="N91" s="214"/>
      <x:c r="O91" s="214"/>
      <x:c r="P91" s="214"/>
      <x:c r="Q91" s="214"/>
      <x:c r="R91" s="214"/>
      <x:c r="S91" s="214"/>
      <x:c r="T91" s="214"/>
    </x:row>
    <x:row r="92">
      <x:c r="A92" s="214"/>
      <x:c r="B92" s="214"/>
      <x:c r="C92" s="214"/>
      <x:c r="D92" s="214"/>
      <x:c r="E92" s="214"/>
      <x:c r="F92" s="214"/>
      <x:c r="G92" s="214"/>
      <x:c r="H92" s="214"/>
      <x:c r="I92" s="214"/>
      <x:c r="J92" s="214"/>
      <x:c r="K92" s="214"/>
      <x:c r="L92" s="214"/>
      <x:c r="M92" s="214"/>
      <x:c r="N92" s="214"/>
      <x:c r="O92" s="214"/>
      <x:c r="P92" s="214"/>
      <x:c r="Q92" s="214"/>
      <x:c r="R92" s="214"/>
      <x:c r="S92" s="214"/>
      <x:c r="T92" s="214"/>
    </x:row>
    <x:row r="93">
      <x:c r="A93" s="214"/>
      <x:c r="B93" s="214"/>
      <x:c r="C93" s="214"/>
      <x:c r="D93" s="214"/>
      <x:c r="E93" s="214"/>
      <x:c r="F93" s="214"/>
      <x:c r="G93" s="214"/>
      <x:c r="H93" s="214"/>
      <x:c r="I93" s="214"/>
      <x:c r="J93" s="214"/>
      <x:c r="K93" s="214"/>
      <x:c r="L93" s="214"/>
      <x:c r="M93" s="214"/>
      <x:c r="N93" s="214"/>
      <x:c r="O93" s="214"/>
      <x:c r="P93" s="214"/>
      <x:c r="Q93" s="214"/>
      <x:c r="R93" s="214"/>
      <x:c r="S93" s="214"/>
      <x:c r="T93" s="214"/>
    </x:row>
    <x:row r="94">
      <x:c r="A94" s="214"/>
      <x:c r="B94" s="214"/>
      <x:c r="C94" s="214"/>
      <x:c r="D94" s="214"/>
      <x:c r="E94" s="214"/>
      <x:c r="F94" s="214"/>
      <x:c r="G94" s="214"/>
      <x:c r="H94" s="214"/>
      <x:c r="I94" s="214"/>
      <x:c r="J94" s="214"/>
      <x:c r="K94" s="214"/>
      <x:c r="L94" s="214"/>
      <x:c r="M94" s="214"/>
      <x:c r="N94" s="214"/>
      <x:c r="O94" s="214"/>
      <x:c r="P94" s="214"/>
      <x:c r="Q94" s="214"/>
      <x:c r="R94" s="214"/>
      <x:c r="S94" s="214"/>
      <x:c r="T94" s="214"/>
    </x:row>
    <x:row r="95">
      <x:c r="A95" s="214"/>
      <x:c r="B95" s="214"/>
      <x:c r="C95" s="214"/>
      <x:c r="D95" s="214"/>
      <x:c r="E95" s="214"/>
      <x:c r="F95" s="214"/>
      <x:c r="G95" s="214"/>
      <x:c r="H95" s="214"/>
      <x:c r="I95" s="214"/>
      <x:c r="J95" s="214"/>
      <x:c r="K95" s="214"/>
      <x:c r="L95" s="214"/>
      <x:c r="M95" s="214"/>
      <x:c r="N95" s="214"/>
      <x:c r="O95" s="214"/>
      <x:c r="P95" s="214"/>
      <x:c r="Q95" s="214"/>
      <x:c r="R95" s="214"/>
      <x:c r="S95" s="214"/>
      <x:c r="T95" s="214"/>
    </x:row>
    <x:row r="96">
      <x:c r="A96" s="214"/>
      <x:c r="B96" s="214"/>
      <x:c r="C96" s="214"/>
      <x:c r="D96" s="214"/>
      <x:c r="E96" s="214"/>
      <x:c r="F96" s="214"/>
      <x:c r="G96" s="214"/>
      <x:c r="H96" s="214"/>
      <x:c r="I96" s="214"/>
      <x:c r="J96" s="214"/>
      <x:c r="K96" s="214"/>
      <x:c r="L96" s="214"/>
      <x:c r="M96" s="214"/>
      <x:c r="N96" s="214"/>
      <x:c r="O96" s="214"/>
      <x:c r="P96" s="214"/>
      <x:c r="Q96" s="214"/>
      <x:c r="R96" s="214"/>
      <x:c r="S96" s="214"/>
      <x:c r="T96" s="214"/>
    </x:row>
    <x:row r="97">
      <x:c r="A97" s="214"/>
      <x:c r="B97" s="214"/>
      <x:c r="C97" s="214"/>
      <x:c r="D97" s="214"/>
      <x:c r="E97" s="214"/>
      <x:c r="F97" s="214"/>
      <x:c r="G97" s="214"/>
      <x:c r="H97" s="214"/>
      <x:c r="I97" s="214"/>
      <x:c r="J97" s="214"/>
      <x:c r="K97" s="214"/>
      <x:c r="L97" s="214"/>
      <x:c r="M97" s="214"/>
      <x:c r="N97" s="214"/>
      <x:c r="O97" s="214"/>
      <x:c r="P97" s="214"/>
      <x:c r="Q97" s="214"/>
      <x:c r="R97" s="214"/>
      <x:c r="S97" s="214"/>
      <x:c r="T97" s="214"/>
    </x:row>
    <x:row r="98">
      <x:c r="A98" s="214"/>
      <x:c r="B98" s="214"/>
      <x:c r="C98" s="214"/>
      <x:c r="D98" s="214"/>
      <x:c r="E98" s="214"/>
      <x:c r="F98" s="214"/>
      <x:c r="G98" s="214"/>
      <x:c r="H98" s="214"/>
      <x:c r="I98" s="214"/>
      <x:c r="J98" s="214"/>
      <x:c r="K98" s="214"/>
      <x:c r="L98" s="214"/>
      <x:c r="M98" s="214"/>
      <x:c r="N98" s="214"/>
      <x:c r="O98" s="214"/>
      <x:c r="P98" s="214"/>
      <x:c r="Q98" s="214"/>
      <x:c r="R98" s="214"/>
      <x:c r="S98" s="214"/>
      <x:c r="T98" s="214"/>
    </x:row>
    <x:row r="99">
      <x:c r="A99" s="214"/>
      <x:c r="B99" s="214"/>
      <x:c r="C99" s="214"/>
      <x:c r="D99" s="214"/>
      <x:c r="E99" s="214"/>
      <x:c r="F99" s="214"/>
      <x:c r="G99" s="214"/>
      <x:c r="H99" s="214"/>
      <x:c r="I99" s="214"/>
      <x:c r="J99" s="214"/>
      <x:c r="K99" s="214"/>
      <x:c r="L99" s="214"/>
      <x:c r="M99" s="214"/>
      <x:c r="N99" s="214"/>
      <x:c r="O99" s="214"/>
      <x:c r="P99" s="214"/>
      <x:c r="Q99" s="214"/>
      <x:c r="R99" s="214"/>
      <x:c r="S99" s="214"/>
      <x:c r="T99" s="214"/>
    </x:row>
    <x:row r="100">
      <x:c r="A100" s="214"/>
      <x:c r="B100" s="214"/>
      <x:c r="C100" s="214"/>
      <x:c r="D100" s="214"/>
      <x:c r="E100" s="214"/>
      <x:c r="F100" s="214"/>
      <x:c r="G100" s="214"/>
      <x:c r="H100" s="214"/>
      <x:c r="I100" s="214"/>
      <x:c r="J100" s="214"/>
      <x:c r="K100" s="214"/>
      <x:c r="L100" s="214"/>
      <x:c r="M100" s="214"/>
      <x:c r="N100" s="214"/>
      <x:c r="O100" s="214"/>
      <x:c r="P100" s="214"/>
      <x:c r="Q100" s="214"/>
      <x:c r="R100" s="214"/>
      <x:c r="S100" s="214"/>
      <x:c r="T100" s="214"/>
    </x:row>
    <x:row r="101">
      <x:c r="A101" s="214"/>
      <x:c r="B101" s="214"/>
      <x:c r="C101" s="214"/>
      <x:c r="D101" s="214"/>
      <x:c r="E101" s="214"/>
      <x:c r="F101" s="214"/>
      <x:c r="G101" s="214"/>
      <x:c r="H101" s="214"/>
      <x:c r="I101" s="214"/>
      <x:c r="J101" s="214"/>
      <x:c r="K101" s="214"/>
      <x:c r="L101" s="214"/>
      <x:c r="M101" s="214"/>
      <x:c r="N101" s="214"/>
      <x:c r="O101" s="214"/>
      <x:c r="P101" s="214"/>
      <x:c r="Q101" s="214"/>
      <x:c r="R101" s="214"/>
      <x:c r="S101" s="214"/>
      <x:c r="T101" s="214"/>
    </x:row>
    <x:row r="102">
      <x:c r="A102" s="214"/>
      <x:c r="B102" s="214"/>
      <x:c r="C102" s="214"/>
      <x:c r="D102" s="214"/>
      <x:c r="E102" s="214"/>
      <x:c r="F102" s="214"/>
      <x:c r="G102" s="214"/>
      <x:c r="H102" s="214"/>
      <x:c r="I102" s="214"/>
      <x:c r="J102" s="214"/>
      <x:c r="K102" s="214"/>
      <x:c r="L102" s="214"/>
      <x:c r="M102" s="214"/>
      <x:c r="N102" s="214"/>
      <x:c r="O102" s="214"/>
      <x:c r="P102" s="214"/>
      <x:c r="Q102" s="214"/>
      <x:c r="R102" s="214"/>
      <x:c r="S102" s="214"/>
      <x:c r="T102" s="214"/>
    </x:row>
    <x:row r="103">
      <x:c r="A103" s="214"/>
      <x:c r="B103" s="214"/>
      <x:c r="C103" s="214"/>
      <x:c r="D103" s="214"/>
      <x:c r="E103" s="214"/>
      <x:c r="F103" s="214"/>
      <x:c r="G103" s="214"/>
      <x:c r="H103" s="214"/>
      <x:c r="I103" s="214"/>
      <x:c r="J103" s="214"/>
      <x:c r="K103" s="214"/>
      <x:c r="L103" s="214"/>
      <x:c r="M103" s="214"/>
      <x:c r="N103" s="214"/>
      <x:c r="O103" s="214"/>
      <x:c r="P103" s="214"/>
      <x:c r="Q103" s="214"/>
      <x:c r="R103" s="214"/>
      <x:c r="S103" s="214"/>
      <x:c r="T103" s="214"/>
    </x:row>
    <x:row r="104">
      <x:c r="A104" s="214"/>
      <x:c r="B104" s="214"/>
      <x:c r="C104" s="214"/>
      <x:c r="D104" s="214"/>
      <x:c r="E104" s="214"/>
      <x:c r="F104" s="214"/>
      <x:c r="G104" s="214"/>
      <x:c r="H104" s="214"/>
      <x:c r="I104" s="214"/>
      <x:c r="J104" s="214"/>
      <x:c r="K104" s="214"/>
      <x:c r="L104" s="214"/>
      <x:c r="M104" s="214"/>
      <x:c r="N104" s="214"/>
      <x:c r="O104" s="214"/>
      <x:c r="P104" s="214"/>
      <x:c r="Q104" s="214"/>
      <x:c r="R104" s="214"/>
      <x:c r="S104" s="214"/>
      <x:c r="T104" s="214"/>
    </x:row>
    <x:row r="105">
      <x:c r="A105" s="214"/>
      <x:c r="B105" s="214"/>
      <x:c r="C105" s="214"/>
      <x:c r="D105" s="214"/>
      <x:c r="E105" s="214"/>
      <x:c r="F105" s="214"/>
      <x:c r="G105" s="214"/>
      <x:c r="H105" s="214"/>
      <x:c r="I105" s="214"/>
      <x:c r="J105" s="214"/>
      <x:c r="K105" s="214"/>
      <x:c r="L105" s="214"/>
      <x:c r="M105" s="214"/>
      <x:c r="N105" s="214"/>
      <x:c r="O105" s="214"/>
      <x:c r="P105" s="214"/>
      <x:c r="Q105" s="214"/>
      <x:c r="R105" s="214"/>
      <x:c r="S105" s="214"/>
      <x:c r="T105" s="214"/>
    </x:row>
    <x:row r="106">
      <x:c r="A106" s="214"/>
      <x:c r="B106" s="214"/>
      <x:c r="C106" s="214"/>
      <x:c r="D106" s="214"/>
      <x:c r="E106" s="214"/>
      <x:c r="F106" s="214"/>
      <x:c r="G106" s="214"/>
      <x:c r="H106" s="214"/>
      <x:c r="I106" s="214"/>
      <x:c r="J106" s="214"/>
      <x:c r="K106" s="214"/>
      <x:c r="L106" s="214"/>
      <x:c r="M106" s="214"/>
      <x:c r="N106" s="214"/>
      <x:c r="O106" s="214"/>
      <x:c r="P106" s="214"/>
      <x:c r="Q106" s="214"/>
      <x:c r="R106" s="214"/>
      <x:c r="S106" s="214"/>
      <x:c r="T106" s="214"/>
    </x:row>
    <x:row r="107">
      <x:c r="A107" s="214"/>
      <x:c r="B107" s="214"/>
      <x:c r="C107" s="214"/>
      <x:c r="D107" s="214"/>
      <x:c r="E107" s="214"/>
      <x:c r="F107" s="214"/>
      <x:c r="G107" s="214"/>
      <x:c r="H107" s="214"/>
      <x:c r="I107" s="214"/>
      <x:c r="J107" s="214"/>
      <x:c r="K107" s="214"/>
      <x:c r="L107" s="214"/>
      <x:c r="M107" s="214"/>
      <x:c r="N107" s="214"/>
      <x:c r="O107" s="214"/>
      <x:c r="P107" s="214"/>
      <x:c r="Q107" s="214"/>
      <x:c r="R107" s="214"/>
      <x:c r="S107" s="214"/>
      <x:c r="T107" s="214"/>
    </x:row>
    <x:row r="108">
      <x:c r="A108" s="214"/>
      <x:c r="B108" s="214"/>
      <x:c r="C108" s="214"/>
      <x:c r="D108" s="214"/>
      <x:c r="E108" s="214"/>
      <x:c r="F108" s="214"/>
      <x:c r="G108" s="214"/>
      <x:c r="H108" s="214"/>
      <x:c r="I108" s="214"/>
      <x:c r="J108" s="214"/>
      <x:c r="K108" s="214"/>
      <x:c r="L108" s="214"/>
      <x:c r="M108" s="214"/>
      <x:c r="N108" s="214"/>
      <x:c r="O108" s="214"/>
      <x:c r="P108" s="214"/>
      <x:c r="Q108" s="214"/>
      <x:c r="R108" s="214"/>
      <x:c r="S108" s="214"/>
      <x:c r="T108" s="214"/>
    </x:row>
    <x:row r="109">
      <x:c r="A109" s="214"/>
      <x:c r="B109" s="214"/>
      <x:c r="C109" s="214"/>
      <x:c r="D109" s="214"/>
      <x:c r="E109" s="214"/>
      <x:c r="F109" s="214"/>
      <x:c r="G109" s="214"/>
      <x:c r="H109" s="214"/>
      <x:c r="I109" s="214"/>
      <x:c r="J109" s="214"/>
      <x:c r="K109" s="214"/>
      <x:c r="L109" s="214"/>
      <x:c r="M109" s="214"/>
      <x:c r="N109" s="214"/>
      <x:c r="O109" s="214"/>
      <x:c r="P109" s="214"/>
      <x:c r="Q109" s="214"/>
      <x:c r="R109" s="214"/>
      <x:c r="S109" s="214"/>
      <x:c r="T109" s="214"/>
    </x:row>
    <x:row r="110">
      <x:c r="A110" s="214"/>
      <x:c r="B110" s="214"/>
      <x:c r="C110" s="214"/>
      <x:c r="D110" s="214"/>
      <x:c r="E110" s="214"/>
      <x:c r="F110" s="214"/>
      <x:c r="G110" s="214"/>
      <x:c r="H110" s="214"/>
      <x:c r="I110" s="214"/>
      <x:c r="J110" s="214"/>
      <x:c r="K110" s="214"/>
      <x:c r="L110" s="214"/>
      <x:c r="M110" s="214"/>
      <x:c r="N110" s="214"/>
      <x:c r="O110" s="214"/>
      <x:c r="P110" s="214"/>
      <x:c r="Q110" s="214"/>
      <x:c r="R110" s="214"/>
      <x:c r="S110" s="214"/>
      <x:c r="T110" s="214"/>
    </x:row>
    <x:row r="111">
      <x:c r="A111" s="214"/>
      <x:c r="B111" s="214"/>
      <x:c r="C111" s="214"/>
      <x:c r="D111" s="214"/>
      <x:c r="E111" s="214"/>
      <x:c r="F111" s="214"/>
      <x:c r="G111" s="214"/>
      <x:c r="H111" s="214"/>
      <x:c r="I111" s="214"/>
      <x:c r="J111" s="214"/>
      <x:c r="K111" s="214"/>
      <x:c r="L111" s="214"/>
      <x:c r="M111" s="214"/>
      <x:c r="N111" s="214"/>
      <x:c r="O111" s="214"/>
      <x:c r="P111" s="214"/>
      <x:c r="Q111" s="214"/>
      <x:c r="R111" s="214"/>
      <x:c r="S111" s="214"/>
      <x:c r="T111" s="214"/>
    </x:row>
    <x:row r="112">
      <x:c r="A112" s="214"/>
      <x:c r="B112" s="214"/>
      <x:c r="C112" s="214"/>
      <x:c r="D112" s="214"/>
      <x:c r="E112" s="214"/>
      <x:c r="F112" s="214"/>
      <x:c r="G112" s="214"/>
      <x:c r="H112" s="214"/>
      <x:c r="I112" s="214"/>
      <x:c r="J112" s="214"/>
      <x:c r="K112" s="214"/>
      <x:c r="L112" s="214"/>
      <x:c r="M112" s="214"/>
      <x:c r="N112" s="214"/>
      <x:c r="O112" s="214"/>
      <x:c r="P112" s="214"/>
      <x:c r="Q112" s="214"/>
      <x:c r="R112" s="214"/>
      <x:c r="S112" s="214"/>
      <x:c r="T112" s="214"/>
    </x:row>
    <x:row r="113">
      <x:c r="A113" s="214"/>
      <x:c r="B113" s="214"/>
      <x:c r="C113" s="214"/>
      <x:c r="D113" s="214"/>
      <x:c r="E113" s="214"/>
      <x:c r="F113" s="214"/>
      <x:c r="G113" s="214"/>
      <x:c r="H113" s="214"/>
      <x:c r="I113" s="214"/>
      <x:c r="J113" s="214"/>
      <x:c r="K113" s="214"/>
      <x:c r="L113" s="214"/>
      <x:c r="M113" s="214"/>
      <x:c r="N113" s="214"/>
      <x:c r="O113" s="214"/>
      <x:c r="P113" s="214"/>
      <x:c r="Q113" s="214"/>
      <x:c r="R113" s="214"/>
      <x:c r="S113" s="214"/>
      <x:c r="T113" s="214"/>
    </x:row>
    <x:row r="114">
      <x:c r="A114" s="214"/>
      <x:c r="B114" s="214"/>
      <x:c r="C114" s="214"/>
      <x:c r="D114" s="214"/>
      <x:c r="E114" s="214"/>
      <x:c r="F114" s="214"/>
      <x:c r="G114" s="214"/>
      <x:c r="H114" s="214"/>
      <x:c r="I114" s="214"/>
      <x:c r="J114" s="214"/>
      <x:c r="K114" s="214"/>
      <x:c r="L114" s="214"/>
      <x:c r="M114" s="214"/>
      <x:c r="N114" s="214"/>
      <x:c r="O114" s="214"/>
      <x:c r="P114" s="214"/>
      <x:c r="Q114" s="214"/>
      <x:c r="R114" s="214"/>
      <x:c r="S114" s="214"/>
      <x:c r="T114" s="214"/>
    </x:row>
    <x:row r="115">
      <x:c r="A115" s="214"/>
      <x:c r="B115" s="214"/>
      <x:c r="C115" s="214"/>
      <x:c r="D115" s="214"/>
      <x:c r="E115" s="214"/>
      <x:c r="F115" s="214"/>
      <x:c r="G115" s="214"/>
      <x:c r="H115" s="214"/>
      <x:c r="I115" s="214"/>
      <x:c r="J115" s="214"/>
      <x:c r="K115" s="214"/>
      <x:c r="L115" s="214"/>
      <x:c r="M115" s="214"/>
      <x:c r="N115" s="214"/>
      <x:c r="O115" s="214"/>
      <x:c r="P115" s="214"/>
      <x:c r="Q115" s="214"/>
      <x:c r="R115" s="214"/>
      <x:c r="S115" s="214"/>
      <x:c r="T115" s="214"/>
    </x:row>
    <x:row r="116">
      <x:c r="A116" s="214"/>
      <x:c r="B116" s="214"/>
      <x:c r="C116" s="214"/>
      <x:c r="D116" s="214"/>
      <x:c r="E116" s="214"/>
      <x:c r="F116" s="214"/>
      <x:c r="G116" s="214"/>
      <x:c r="H116" s="214"/>
      <x:c r="I116" s="214"/>
      <x:c r="J116" s="214"/>
      <x:c r="K116" s="214"/>
      <x:c r="L116" s="214"/>
      <x:c r="M116" s="214"/>
      <x:c r="N116" s="214"/>
      <x:c r="O116" s="214"/>
      <x:c r="P116" s="214"/>
      <x:c r="Q116" s="214"/>
      <x:c r="R116" s="214"/>
      <x:c r="S116" s="214"/>
      <x:c r="T116" s="214"/>
    </x:row>
    <x:row r="117">
      <x:c r="A117" s="214"/>
      <x:c r="B117" s="214"/>
      <x:c r="C117" s="214"/>
      <x:c r="D117" s="214"/>
      <x:c r="E117" s="214"/>
      <x:c r="F117" s="214"/>
      <x:c r="G117" s="214"/>
      <x:c r="H117" s="214"/>
      <x:c r="I117" s="214"/>
      <x:c r="J117" s="214"/>
      <x:c r="K117" s="214"/>
      <x:c r="L117" s="214"/>
      <x:c r="M117" s="214"/>
      <x:c r="N117" s="214"/>
      <x:c r="O117" s="214"/>
      <x:c r="P117" s="214"/>
      <x:c r="Q117" s="214"/>
      <x:c r="R117" s="214"/>
      <x:c r="S117" s="214"/>
      <x:c r="T117" s="214"/>
    </x:row>
    <x:row r="118">
      <x:c r="A118" s="214"/>
      <x:c r="B118" s="214"/>
      <x:c r="C118" s="214"/>
      <x:c r="D118" s="214"/>
      <x:c r="E118" s="214"/>
      <x:c r="F118" s="214"/>
      <x:c r="G118" s="214"/>
      <x:c r="H118" s="214"/>
      <x:c r="I118" s="214"/>
      <x:c r="J118" s="214"/>
      <x:c r="K118" s="214"/>
      <x:c r="L118" s="214"/>
      <x:c r="M118" s="214"/>
      <x:c r="N118" s="214"/>
      <x:c r="O118" s="214"/>
      <x:c r="P118" s="214"/>
      <x:c r="Q118" s="214"/>
      <x:c r="R118" s="214"/>
      <x:c r="S118" s="214"/>
      <x:c r="T118" s="214"/>
    </x:row>
    <x:row r="119">
      <x:c r="A119" s="214"/>
      <x:c r="B119" s="214"/>
      <x:c r="C119" s="214"/>
      <x:c r="D119" s="214"/>
      <x:c r="E119" s="214"/>
      <x:c r="F119" s="214"/>
      <x:c r="G119" s="214"/>
      <x:c r="H119" s="214"/>
      <x:c r="I119" s="214"/>
      <x:c r="J119" s="214"/>
      <x:c r="K119" s="214"/>
      <x:c r="L119" s="214"/>
      <x:c r="M119" s="214"/>
      <x:c r="N119" s="214"/>
      <x:c r="O119" s="214"/>
      <x:c r="P119" s="214"/>
      <x:c r="Q119" s="214"/>
      <x:c r="R119" s="214"/>
      <x:c r="S119" s="214"/>
      <x:c r="T119" s="214"/>
    </x:row>
    <x:row r="120">
      <x:c r="A120" s="214"/>
      <x:c r="B120" s="214"/>
      <x:c r="C120" s="214"/>
      <x:c r="D120" s="214"/>
      <x:c r="E120" s="214"/>
      <x:c r="F120" s="214"/>
      <x:c r="G120" s="214"/>
      <x:c r="H120" s="214"/>
      <x:c r="I120" s="214"/>
      <x:c r="J120" s="214"/>
      <x:c r="K120" s="214"/>
      <x:c r="L120" s="214"/>
      <x:c r="M120" s="214"/>
      <x:c r="N120" s="214"/>
      <x:c r="O120" s="214"/>
      <x:c r="P120" s="214"/>
      <x:c r="Q120" s="214"/>
      <x:c r="R120" s="214"/>
      <x:c r="S120" s="214"/>
      <x:c r="T120" s="214"/>
    </x:row>
    <x:row r="121">
      <x:c r="A121" s="214"/>
      <x:c r="B121" s="214"/>
      <x:c r="C121" s="214"/>
      <x:c r="D121" s="214"/>
      <x:c r="E121" s="214"/>
      <x:c r="F121" s="214"/>
      <x:c r="G121" s="214"/>
      <x:c r="H121" s="214"/>
      <x:c r="I121" s="214"/>
      <x:c r="J121" s="214"/>
      <x:c r="K121" s="214"/>
      <x:c r="L121" s="214"/>
      <x:c r="M121" s="214"/>
      <x:c r="N121" s="214"/>
      <x:c r="O121" s="214"/>
      <x:c r="P121" s="214"/>
      <x:c r="Q121" s="214"/>
      <x:c r="R121" s="214"/>
      <x:c r="S121" s="214"/>
      <x:c r="T121" s="214"/>
    </x:row>
    <x:row r="122">
      <x:c r="A122" s="214"/>
      <x:c r="B122" s="214"/>
      <x:c r="C122" s="214"/>
      <x:c r="D122" s="214"/>
      <x:c r="E122" s="214"/>
      <x:c r="F122" s="214"/>
      <x:c r="G122" s="214"/>
      <x:c r="H122" s="214"/>
      <x:c r="I122" s="214"/>
      <x:c r="J122" s="214"/>
      <x:c r="K122" s="214"/>
      <x:c r="L122" s="214"/>
      <x:c r="M122" s="214"/>
      <x:c r="N122" s="214"/>
      <x:c r="O122" s="214"/>
      <x:c r="P122" s="214"/>
      <x:c r="Q122" s="214"/>
      <x:c r="R122" s="214"/>
      <x:c r="S122" s="214"/>
      <x:c r="T122" s="214"/>
    </x:row>
    <x:row r="123">
      <x:c r="A123" s="214"/>
      <x:c r="B123" s="214"/>
      <x:c r="C123" s="214"/>
      <x:c r="D123" s="214"/>
      <x:c r="E123" s="214"/>
      <x:c r="F123" s="214"/>
      <x:c r="G123" s="214"/>
      <x:c r="H123" s="214"/>
      <x:c r="I123" s="214"/>
      <x:c r="J123" s="214"/>
      <x:c r="K123" s="214"/>
      <x:c r="L123" s="214"/>
      <x:c r="M123" s="214"/>
      <x:c r="N123" s="214"/>
      <x:c r="O123" s="214"/>
      <x:c r="P123" s="214"/>
      <x:c r="Q123" s="214"/>
      <x:c r="R123" s="214"/>
      <x:c r="S123" s="214"/>
      <x:c r="T123" s="214"/>
    </x:row>
    <x:row r="124">
      <x:c r="A124" s="214"/>
      <x:c r="B124" s="214"/>
      <x:c r="C124" s="214"/>
      <x:c r="D124" s="214"/>
      <x:c r="E124" s="214"/>
      <x:c r="F124" s="214"/>
      <x:c r="G124" s="214"/>
      <x:c r="H124" s="214"/>
      <x:c r="I124" s="214"/>
      <x:c r="J124" s="214"/>
      <x:c r="K124" s="214"/>
      <x:c r="L124" s="214"/>
      <x:c r="M124" s="214"/>
      <x:c r="N124" s="214"/>
      <x:c r="O124" s="214"/>
      <x:c r="P124" s="214"/>
      <x:c r="Q124" s="214"/>
      <x:c r="R124" s="214"/>
      <x:c r="S124" s="214"/>
      <x:c r="T124" s="214"/>
    </x:row>
    <x:row r="125">
      <x:c r="A125" s="214"/>
      <x:c r="B125" s="214"/>
      <x:c r="C125" s="214"/>
      <x:c r="D125" s="214"/>
      <x:c r="E125" s="214"/>
      <x:c r="F125" s="214"/>
      <x:c r="G125" s="214"/>
      <x:c r="H125" s="214"/>
      <x:c r="I125" s="214"/>
      <x:c r="J125" s="214"/>
      <x:c r="K125" s="214"/>
      <x:c r="L125" s="214"/>
      <x:c r="M125" s="214"/>
      <x:c r="N125" s="214"/>
      <x:c r="O125" s="214"/>
      <x:c r="P125" s="214"/>
      <x:c r="Q125" s="214"/>
      <x:c r="R125" s="214"/>
      <x:c r="S125" s="214"/>
      <x:c r="T125" s="214"/>
    </x:row>
    <x:row r="126">
      <x:c r="A126" s="214"/>
      <x:c r="B126" s="214"/>
      <x:c r="C126" s="214"/>
      <x:c r="D126" s="214"/>
      <x:c r="E126" s="214"/>
      <x:c r="F126" s="214"/>
      <x:c r="G126" s="214"/>
      <x:c r="H126" s="214"/>
      <x:c r="I126" s="214"/>
      <x:c r="J126" s="214"/>
      <x:c r="K126" s="214"/>
      <x:c r="L126" s="214"/>
      <x:c r="M126" s="214"/>
      <x:c r="N126" s="214"/>
      <x:c r="O126" s="214"/>
      <x:c r="P126" s="214"/>
      <x:c r="Q126" s="214"/>
      <x:c r="R126" s="214"/>
      <x:c r="S126" s="214"/>
      <x:c r="T126" s="214"/>
    </x:row>
    <x:row r="127">
      <x:c r="A127" s="214"/>
      <x:c r="B127" s="214"/>
      <x:c r="C127" s="214"/>
      <x:c r="D127" s="214"/>
      <x:c r="E127" s="214"/>
      <x:c r="F127" s="214"/>
      <x:c r="G127" s="214"/>
      <x:c r="H127" s="214"/>
      <x:c r="I127" s="214"/>
      <x:c r="J127" s="214"/>
      <x:c r="K127" s="214"/>
      <x:c r="L127" s="214"/>
      <x:c r="M127" s="214"/>
      <x:c r="N127" s="214"/>
      <x:c r="O127" s="214"/>
      <x:c r="P127" s="214"/>
      <x:c r="Q127" s="214"/>
      <x:c r="R127" s="214"/>
      <x:c r="S127" s="214"/>
      <x:c r="T127" s="214"/>
    </x:row>
    <x:row r="128">
      <x:c r="A128" s="214"/>
      <x:c r="B128" s="214"/>
      <x:c r="C128" s="214"/>
      <x:c r="D128" s="214"/>
      <x:c r="E128" s="214"/>
      <x:c r="F128" s="214"/>
      <x:c r="G128" s="214"/>
      <x:c r="H128" s="214"/>
      <x:c r="I128" s="214"/>
      <x:c r="J128" s="214"/>
      <x:c r="K128" s="214"/>
      <x:c r="L128" s="214"/>
      <x:c r="M128" s="214"/>
      <x:c r="N128" s="214"/>
      <x:c r="O128" s="214"/>
      <x:c r="P128" s="214"/>
      <x:c r="Q128" s="214"/>
      <x:c r="R128" s="214"/>
      <x:c r="S128" s="214"/>
      <x:c r="T128" s="214"/>
    </x:row>
    <x:row r="129">
      <x:c r="A129" s="214"/>
      <x:c r="B129" s="214"/>
      <x:c r="C129" s="214"/>
      <x:c r="D129" s="214"/>
      <x:c r="E129" s="214"/>
      <x:c r="F129" s="214"/>
      <x:c r="G129" s="214"/>
      <x:c r="H129" s="214"/>
      <x:c r="I129" s="214"/>
      <x:c r="J129" s="214"/>
      <x:c r="K129" s="214"/>
      <x:c r="L129" s="214"/>
      <x:c r="M129" s="214"/>
      <x:c r="N129" s="214"/>
      <x:c r="O129" s="214"/>
      <x:c r="P129" s="214"/>
      <x:c r="Q129" s="214"/>
      <x:c r="R129" s="214"/>
      <x:c r="S129" s="214"/>
      <x:c r="T129" s="214"/>
    </x:row>
    <x:row r="130">
      <x:c r="A130" s="214"/>
      <x:c r="B130" s="214"/>
      <x:c r="C130" s="214"/>
      <x:c r="D130" s="214"/>
      <x:c r="E130" s="214"/>
      <x:c r="F130" s="214"/>
      <x:c r="G130" s="214"/>
      <x:c r="H130" s="214"/>
      <x:c r="I130" s="214"/>
      <x:c r="J130" s="214"/>
      <x:c r="K130" s="214"/>
      <x:c r="L130" s="214"/>
      <x:c r="M130" s="214"/>
      <x:c r="N130" s="214"/>
      <x:c r="O130" s="214"/>
      <x:c r="P130" s="214"/>
      <x:c r="Q130" s="214"/>
      <x:c r="R130" s="214"/>
      <x:c r="S130" s="214"/>
      <x:c r="T130" s="214"/>
    </x:row>
    <x:row r="131">
      <x:c r="A131" s="214"/>
      <x:c r="B131" s="214"/>
      <x:c r="C131" s="214"/>
      <x:c r="D131" s="214"/>
      <x:c r="E131" s="214"/>
      <x:c r="F131" s="214"/>
      <x:c r="G131" s="214"/>
      <x:c r="H131" s="214"/>
      <x:c r="I131" s="214"/>
      <x:c r="J131" s="214"/>
      <x:c r="K131" s="214"/>
      <x:c r="L131" s="214"/>
      <x:c r="M131" s="214"/>
      <x:c r="N131" s="214"/>
      <x:c r="O131" s="214"/>
      <x:c r="P131" s="214"/>
      <x:c r="Q131" s="214"/>
      <x:c r="R131" s="214"/>
      <x:c r="S131" s="214"/>
      <x:c r="T131" s="214"/>
    </x:row>
    <x:row r="132">
      <x:c r="A132" s="214"/>
      <x:c r="B132" s="214"/>
      <x:c r="C132" s="214"/>
      <x:c r="D132" s="214"/>
      <x:c r="E132" s="214"/>
      <x:c r="F132" s="214"/>
      <x:c r="G132" s="214"/>
      <x:c r="H132" s="214"/>
      <x:c r="I132" s="214"/>
      <x:c r="J132" s="214"/>
      <x:c r="K132" s="214"/>
      <x:c r="L132" s="214"/>
      <x:c r="M132" s="214"/>
      <x:c r="N132" s="214"/>
      <x:c r="O132" s="214"/>
      <x:c r="P132" s="214"/>
      <x:c r="Q132" s="214"/>
      <x:c r="R132" s="214"/>
      <x:c r="S132" s="214"/>
      <x:c r="T132" s="214"/>
    </x:row>
    <x:row r="133">
      <x:c r="A133" s="214"/>
      <x:c r="B133" s="214"/>
      <x:c r="C133" s="214"/>
      <x:c r="D133" s="214"/>
      <x:c r="E133" s="214"/>
      <x:c r="F133" s="214"/>
      <x:c r="G133" s="214"/>
      <x:c r="H133" s="214"/>
      <x:c r="I133" s="214"/>
      <x:c r="J133" s="214"/>
      <x:c r="K133" s="214"/>
      <x:c r="L133" s="214"/>
      <x:c r="M133" s="214"/>
      <x:c r="N133" s="214"/>
      <x:c r="O133" s="214"/>
      <x:c r="P133" s="214"/>
      <x:c r="Q133" s="214"/>
      <x:c r="R133" s="214"/>
      <x:c r="S133" s="214"/>
      <x:c r="T133" s="214"/>
    </x:row>
    <x:row r="134">
      <x:c r="A134" s="214"/>
      <x:c r="B134" s="214"/>
      <x:c r="C134" s="214"/>
      <x:c r="D134" s="214"/>
      <x:c r="E134" s="214"/>
      <x:c r="F134" s="214"/>
      <x:c r="G134" s="214"/>
      <x:c r="H134" s="214"/>
      <x:c r="I134" s="214"/>
      <x:c r="J134" s="214"/>
      <x:c r="K134" s="214"/>
      <x:c r="L134" s="214"/>
      <x:c r="M134" s="214"/>
      <x:c r="N134" s="214"/>
      <x:c r="O134" s="214"/>
      <x:c r="P134" s="214"/>
      <x:c r="Q134" s="214"/>
      <x:c r="R134" s="214"/>
      <x:c r="S134" s="214"/>
      <x:c r="T134" s="214"/>
    </x:row>
    <x:row r="135">
      <x:c r="A135" s="214"/>
      <x:c r="B135" s="214"/>
      <x:c r="C135" s="214"/>
      <x:c r="D135" s="214"/>
      <x:c r="E135" s="214"/>
      <x:c r="F135" s="214"/>
      <x:c r="G135" s="214"/>
      <x:c r="H135" s="214"/>
      <x:c r="I135" s="214"/>
      <x:c r="J135" s="214"/>
      <x:c r="K135" s="214"/>
      <x:c r="L135" s="214"/>
      <x:c r="M135" s="214"/>
      <x:c r="N135" s="214"/>
      <x:c r="O135" s="214"/>
      <x:c r="P135" s="214"/>
      <x:c r="Q135" s="214"/>
      <x:c r="R135" s="214"/>
      <x:c r="S135" s="214"/>
      <x:c r="T135" s="214"/>
    </x:row>
    <x:row r="136">
      <x:c r="A136" s="214"/>
      <x:c r="B136" s="214"/>
      <x:c r="C136" s="214"/>
      <x:c r="D136" s="214"/>
      <x:c r="E136" s="214"/>
      <x:c r="F136" s="214"/>
      <x:c r="G136" s="214"/>
      <x:c r="H136" s="214"/>
      <x:c r="I136" s="214"/>
      <x:c r="J136" s="214"/>
      <x:c r="K136" s="214"/>
      <x:c r="L136" s="214"/>
      <x:c r="M136" s="214"/>
      <x:c r="N136" s="214"/>
      <x:c r="O136" s="214"/>
      <x:c r="P136" s="214"/>
      <x:c r="Q136" s="214"/>
      <x:c r="R136" s="214"/>
      <x:c r="S136" s="214"/>
      <x:c r="T136" s="214"/>
    </x:row>
    <x:row r="137">
      <x:c r="A137" s="214"/>
      <x:c r="B137" s="214"/>
      <x:c r="C137" s="214"/>
      <x:c r="D137" s="214"/>
      <x:c r="E137" s="214"/>
      <x:c r="F137" s="214"/>
      <x:c r="G137" s="214"/>
      <x:c r="H137" s="214"/>
      <x:c r="I137" s="214"/>
      <x:c r="J137" s="214"/>
      <x:c r="K137" s="214"/>
      <x:c r="L137" s="214"/>
      <x:c r="M137" s="214"/>
      <x:c r="N137" s="214"/>
      <x:c r="O137" s="214"/>
      <x:c r="P137" s="214"/>
      <x:c r="Q137" s="214"/>
      <x:c r="R137" s="214"/>
      <x:c r="S137" s="214"/>
      <x:c r="T137" s="214"/>
    </x:row>
    <x:row r="138">
      <x:c r="A138" s="214"/>
      <x:c r="B138" s="214"/>
      <x:c r="C138" s="214"/>
      <x:c r="D138" s="214"/>
      <x:c r="E138" s="214"/>
      <x:c r="F138" s="214"/>
      <x:c r="G138" s="214"/>
      <x:c r="H138" s="214"/>
      <x:c r="I138" s="214"/>
      <x:c r="J138" s="214"/>
      <x:c r="K138" s="214"/>
      <x:c r="L138" s="214"/>
      <x:c r="M138" s="214"/>
      <x:c r="N138" s="214"/>
      <x:c r="O138" s="214"/>
      <x:c r="P138" s="214"/>
      <x:c r="Q138" s="214"/>
      <x:c r="R138" s="214"/>
      <x:c r="S138" s="214"/>
      <x:c r="T138" s="214"/>
    </x:row>
    <x:row r="139">
      <x:c r="A139" s="214"/>
      <x:c r="B139" s="214"/>
      <x:c r="C139" s="214"/>
      <x:c r="D139" s="214"/>
      <x:c r="E139" s="214"/>
      <x:c r="F139" s="214"/>
      <x:c r="G139" s="214"/>
      <x:c r="H139" s="214"/>
      <x:c r="I139" s="214"/>
      <x:c r="J139" s="214"/>
      <x:c r="K139" s="214"/>
      <x:c r="L139" s="214"/>
      <x:c r="M139" s="214"/>
      <x:c r="N139" s="214"/>
      <x:c r="O139" s="214"/>
      <x:c r="P139" s="214"/>
      <x:c r="Q139" s="214"/>
      <x:c r="R139" s="214"/>
      <x:c r="S139" s="214"/>
      <x:c r="T139" s="214"/>
    </x:row>
    <x:row r="140">
      <x:c r="A140" s="214"/>
      <x:c r="B140" s="214"/>
      <x:c r="C140" s="214"/>
      <x:c r="D140" s="214"/>
      <x:c r="E140" s="214"/>
      <x:c r="F140" s="214"/>
      <x:c r="G140" s="214"/>
      <x:c r="H140" s="214"/>
      <x:c r="I140" s="214"/>
      <x:c r="J140" s="214"/>
      <x:c r="K140" s="214"/>
      <x:c r="L140" s="214"/>
      <x:c r="M140" s="214"/>
      <x:c r="N140" s="214"/>
      <x:c r="O140" s="214"/>
      <x:c r="P140" s="214"/>
      <x:c r="Q140" s="214"/>
      <x:c r="R140" s="214"/>
      <x:c r="S140" s="214"/>
      <x:c r="T140" s="214"/>
    </x:row>
    <x:row r="141">
      <x:c r="A141" s="214"/>
      <x:c r="B141" s="214"/>
      <x:c r="C141" s="214"/>
      <x:c r="D141" s="214"/>
      <x:c r="E141" s="214"/>
      <x:c r="F141" s="214"/>
      <x:c r="G141" s="214"/>
      <x:c r="H141" s="214"/>
      <x:c r="I141" s="214"/>
      <x:c r="J141" s="214"/>
      <x:c r="K141" s="214"/>
      <x:c r="L141" s="214"/>
      <x:c r="M141" s="214"/>
      <x:c r="N141" s="214"/>
      <x:c r="O141" s="214"/>
      <x:c r="P141" s="214"/>
      <x:c r="Q141" s="214"/>
      <x:c r="R141" s="214"/>
      <x:c r="S141" s="214"/>
      <x:c r="T141" s="214"/>
    </x:row>
    <x:row r="142">
      <x:c r="A142" s="214"/>
      <x:c r="B142" s="214"/>
      <x:c r="C142" s="214"/>
      <x:c r="D142" s="214"/>
      <x:c r="E142" s="214"/>
      <x:c r="F142" s="214"/>
      <x:c r="G142" s="214"/>
      <x:c r="H142" s="214"/>
      <x:c r="I142" s="214"/>
      <x:c r="J142" s="214"/>
      <x:c r="K142" s="214"/>
      <x:c r="L142" s="214"/>
      <x:c r="M142" s="214"/>
      <x:c r="N142" s="214"/>
      <x:c r="O142" s="214"/>
      <x:c r="P142" s="214"/>
      <x:c r="Q142" s="214"/>
      <x:c r="R142" s="214"/>
      <x:c r="S142" s="214"/>
      <x:c r="T142" s="214"/>
    </x:row>
    <x:row r="143">
      <x:c r="A143" s="214"/>
      <x:c r="B143" s="214"/>
      <x:c r="C143" s="214"/>
      <x:c r="D143" s="214"/>
      <x:c r="E143" s="214"/>
      <x:c r="F143" s="214"/>
      <x:c r="G143" s="214"/>
      <x:c r="H143" s="214"/>
      <x:c r="I143" s="214"/>
      <x:c r="J143" s="214"/>
      <x:c r="K143" s="214"/>
      <x:c r="L143" s="214"/>
      <x:c r="M143" s="214"/>
      <x:c r="N143" s="214"/>
      <x:c r="O143" s="214"/>
      <x:c r="P143" s="214"/>
      <x:c r="Q143" s="214"/>
      <x:c r="R143" s="214"/>
      <x:c r="S143" s="214"/>
      <x:c r="T143" s="214"/>
    </x:row>
    <x:row r="144">
      <x:c r="A144" s="214"/>
      <x:c r="B144" s="214"/>
      <x:c r="C144" s="214"/>
      <x:c r="D144" s="214"/>
      <x:c r="E144" s="214"/>
      <x:c r="F144" s="214"/>
      <x:c r="G144" s="214"/>
      <x:c r="H144" s="214"/>
      <x:c r="I144" s="214"/>
      <x:c r="J144" s="214"/>
      <x:c r="K144" s="214"/>
      <x:c r="L144" s="214"/>
      <x:c r="M144" s="214"/>
      <x:c r="N144" s="214"/>
      <x:c r="O144" s="214"/>
      <x:c r="P144" s="214"/>
      <x:c r="Q144" s="214"/>
      <x:c r="R144" s="214"/>
      <x:c r="S144" s="214"/>
      <x:c r="T144" s="214"/>
    </x:row>
    <x:row r="145">
      <x:c r="A145" s="214"/>
      <x:c r="B145" s="214"/>
      <x:c r="C145" s="214"/>
      <x:c r="D145" s="214"/>
      <x:c r="E145" s="214"/>
      <x:c r="F145" s="214"/>
      <x:c r="G145" s="214"/>
      <x:c r="H145" s="214"/>
      <x:c r="I145" s="214"/>
      <x:c r="J145" s="214"/>
      <x:c r="K145" s="214"/>
      <x:c r="L145" s="214"/>
      <x:c r="M145" s="214"/>
      <x:c r="N145" s="214"/>
      <x:c r="O145" s="214"/>
      <x:c r="P145" s="214"/>
      <x:c r="Q145" s="214"/>
      <x:c r="R145" s="214"/>
      <x:c r="S145" s="214"/>
      <x:c r="T145" s="214"/>
    </x:row>
    <x:row r="146">
      <x:c r="A146" s="214"/>
      <x:c r="B146" s="214"/>
      <x:c r="C146" s="214"/>
      <x:c r="D146" s="214"/>
      <x:c r="E146" s="214"/>
      <x:c r="F146" s="214"/>
      <x:c r="G146" s="214"/>
      <x:c r="H146" s="214"/>
      <x:c r="I146" s="214"/>
      <x:c r="J146" s="214"/>
      <x:c r="K146" s="214"/>
      <x:c r="L146" s="214"/>
      <x:c r="M146" s="214"/>
      <x:c r="N146" s="214"/>
      <x:c r="O146" s="214"/>
      <x:c r="P146" s="214"/>
      <x:c r="Q146" s="214"/>
      <x:c r="R146" s="214"/>
      <x:c r="S146" s="214"/>
      <x:c r="T146" s="214"/>
    </x:row>
    <x:row r="147">
      <x:c r="A147" s="214"/>
      <x:c r="B147" s="214"/>
      <x:c r="C147" s="214"/>
      <x:c r="D147" s="214"/>
      <x:c r="E147" s="214"/>
      <x:c r="F147" s="214"/>
      <x:c r="G147" s="214"/>
      <x:c r="H147" s="214"/>
      <x:c r="I147" s="214"/>
      <x:c r="J147" s="214"/>
      <x:c r="K147" s="214"/>
      <x:c r="L147" s="214"/>
      <x:c r="M147" s="214"/>
      <x:c r="N147" s="214"/>
      <x:c r="O147" s="214"/>
      <x:c r="P147" s="214"/>
      <x:c r="Q147" s="214"/>
      <x:c r="R147" s="214"/>
      <x:c r="S147" s="214"/>
      <x:c r="T147" s="214"/>
    </x:row>
    <x:row r="148">
      <x:c r="A148" s="214"/>
      <x:c r="B148" s="214"/>
      <x:c r="C148" s="214"/>
      <x:c r="D148" s="214"/>
      <x:c r="E148" s="214"/>
      <x:c r="F148" s="214"/>
      <x:c r="G148" s="214"/>
      <x:c r="H148" s="214"/>
      <x:c r="I148" s="214"/>
      <x:c r="J148" s="214"/>
      <x:c r="K148" s="214"/>
      <x:c r="L148" s="214"/>
      <x:c r="M148" s="214"/>
      <x:c r="N148" s="214"/>
      <x:c r="O148" s="214"/>
      <x:c r="P148" s="214"/>
      <x:c r="Q148" s="214"/>
      <x:c r="R148" s="214"/>
      <x:c r="S148" s="214"/>
      <x:c r="T148" s="214"/>
    </x:row>
    <x:row r="149">
      <x:c r="A149" s="214"/>
      <x:c r="B149" s="214"/>
      <x:c r="C149" s="214"/>
      <x:c r="D149" s="214"/>
      <x:c r="E149" s="214"/>
      <x:c r="F149" s="214"/>
      <x:c r="G149" s="214"/>
      <x:c r="H149" s="214"/>
      <x:c r="I149" s="214"/>
      <x:c r="J149" s="214"/>
      <x:c r="K149" s="214"/>
      <x:c r="L149" s="214"/>
      <x:c r="M149" s="214"/>
      <x:c r="N149" s="214"/>
      <x:c r="O149" s="214"/>
      <x:c r="P149" s="214"/>
      <x:c r="Q149" s="214"/>
      <x:c r="R149" s="214"/>
      <x:c r="S149" s="214"/>
      <x:c r="T149" s="214"/>
    </x:row>
    <x:row r="150">
      <x:c r="A150" s="214"/>
      <x:c r="B150" s="214"/>
      <x:c r="C150" s="214"/>
      <x:c r="D150" s="214"/>
      <x:c r="E150" s="214"/>
      <x:c r="F150" s="214"/>
      <x:c r="G150" s="214"/>
      <x:c r="H150" s="214"/>
      <x:c r="I150" s="214"/>
      <x:c r="J150" s="214"/>
      <x:c r="K150" s="214"/>
      <x:c r="L150" s="214"/>
      <x:c r="M150" s="214"/>
      <x:c r="N150" s="214"/>
      <x:c r="O150" s="214"/>
      <x:c r="P150" s="214"/>
      <x:c r="Q150" s="214"/>
      <x:c r="R150" s="214"/>
      <x:c r="S150" s="214"/>
      <x:c r="T150" s="214"/>
    </x:row>
    <x:row r="151">
      <x:c r="A151" s="214"/>
      <x:c r="B151" s="214"/>
      <x:c r="C151" s="214"/>
      <x:c r="D151" s="214"/>
      <x:c r="E151" s="214"/>
      <x:c r="F151" s="214"/>
      <x:c r="G151" s="214"/>
      <x:c r="H151" s="214"/>
      <x:c r="I151" s="214"/>
      <x:c r="J151" s="214"/>
      <x:c r="K151" s="214"/>
      <x:c r="L151" s="214"/>
      <x:c r="M151" s="214"/>
      <x:c r="N151" s="214"/>
      <x:c r="O151" s="214"/>
      <x:c r="P151" s="214"/>
      <x:c r="Q151" s="214"/>
      <x:c r="R151" s="214"/>
      <x:c r="S151" s="214"/>
      <x:c r="T151" s="214"/>
    </x:row>
    <x:row r="152">
      <x:c r="A152" s="214"/>
      <x:c r="B152" s="214"/>
      <x:c r="C152" s="214"/>
      <x:c r="D152" s="214"/>
      <x:c r="E152" s="214"/>
      <x:c r="F152" s="214"/>
      <x:c r="G152" s="214"/>
      <x:c r="H152" s="214"/>
      <x:c r="I152" s="214"/>
      <x:c r="J152" s="214"/>
      <x:c r="K152" s="214"/>
      <x:c r="L152" s="214"/>
      <x:c r="M152" s="214"/>
      <x:c r="N152" s="214"/>
      <x:c r="O152" s="214"/>
      <x:c r="P152" s="214"/>
      <x:c r="Q152" s="214"/>
      <x:c r="R152" s="214"/>
      <x:c r="S152" s="214"/>
      <x:c r="T152" s="214"/>
    </x:row>
    <x:row r="153">
      <x:c r="A153" s="214"/>
      <x:c r="B153" s="214"/>
      <x:c r="C153" s="214"/>
      <x:c r="D153" s="214"/>
      <x:c r="E153" s="214"/>
      <x:c r="F153" s="214"/>
      <x:c r="G153" s="214"/>
      <x:c r="H153" s="214"/>
      <x:c r="I153" s="214"/>
      <x:c r="J153" s="214"/>
      <x:c r="K153" s="214"/>
      <x:c r="L153" s="214"/>
      <x:c r="M153" s="214"/>
      <x:c r="N153" s="214"/>
      <x:c r="O153" s="214"/>
      <x:c r="P153" s="214"/>
      <x:c r="Q153" s="214"/>
      <x:c r="R153" s="214"/>
      <x:c r="S153" s="214"/>
      <x:c r="T153" s="214"/>
    </x:row>
    <x:row r="154">
      <x:c r="A154" s="214"/>
      <x:c r="B154" s="214"/>
      <x:c r="C154" s="214"/>
      <x:c r="D154" s="214"/>
      <x:c r="E154" s="214"/>
      <x:c r="F154" s="214"/>
      <x:c r="G154" s="214"/>
      <x:c r="H154" s="214"/>
      <x:c r="I154" s="214"/>
      <x:c r="J154" s="214"/>
      <x:c r="K154" s="214"/>
      <x:c r="L154" s="214"/>
      <x:c r="M154" s="214"/>
      <x:c r="N154" s="214"/>
      <x:c r="O154" s="214"/>
      <x:c r="P154" s="214"/>
      <x:c r="Q154" s="214"/>
      <x:c r="R154" s="214"/>
      <x:c r="S154" s="214"/>
      <x:c r="T154" s="214"/>
    </x:row>
    <x:row r="155">
      <x:c r="A155" s="214"/>
      <x:c r="B155" s="214"/>
      <x:c r="C155" s="214"/>
      <x:c r="D155" s="214"/>
      <x:c r="E155" s="214"/>
      <x:c r="F155" s="214"/>
      <x:c r="G155" s="214"/>
      <x:c r="H155" s="214"/>
      <x:c r="I155" s="214"/>
      <x:c r="J155" s="214"/>
      <x:c r="K155" s="214"/>
      <x:c r="L155" s="214"/>
      <x:c r="M155" s="214"/>
      <x:c r="N155" s="214"/>
      <x:c r="O155" s="214"/>
      <x:c r="P155" s="214"/>
      <x:c r="Q155" s="214"/>
      <x:c r="R155" s="214"/>
      <x:c r="S155" s="214"/>
      <x:c r="T155" s="214"/>
    </x:row>
    <x:row r="156">
      <x:c r="A156" s="214"/>
      <x:c r="B156" s="214"/>
      <x:c r="C156" s="214"/>
      <x:c r="D156" s="214"/>
      <x:c r="E156" s="214"/>
      <x:c r="F156" s="214"/>
      <x:c r="G156" s="214"/>
      <x:c r="H156" s="214"/>
      <x:c r="I156" s="214"/>
      <x:c r="J156" s="214"/>
      <x:c r="K156" s="214"/>
      <x:c r="L156" s="214"/>
      <x:c r="M156" s="214"/>
      <x:c r="N156" s="214"/>
      <x:c r="O156" s="214"/>
      <x:c r="P156" s="214"/>
      <x:c r="Q156" s="214"/>
      <x:c r="R156" s="214"/>
      <x:c r="S156" s="214"/>
      <x:c r="T156" s="214"/>
    </x:row>
    <x:row r="157">
      <x:c r="A157" s="214"/>
      <x:c r="B157" s="214"/>
      <x:c r="C157" s="214"/>
      <x:c r="D157" s="214"/>
      <x:c r="E157" s="214"/>
      <x:c r="F157" s="214"/>
      <x:c r="G157" s="214"/>
      <x:c r="H157" s="214"/>
      <x:c r="I157" s="214"/>
      <x:c r="J157" s="214"/>
      <x:c r="K157" s="214"/>
      <x:c r="L157" s="214"/>
      <x:c r="M157" s="214"/>
      <x:c r="N157" s="214"/>
      <x:c r="O157" s="214"/>
      <x:c r="P157" s="214"/>
      <x:c r="Q157" s="214"/>
      <x:c r="R157" s="214"/>
      <x:c r="S157" s="214"/>
      <x:c r="T157" s="214"/>
    </x:row>
    <x:row r="158">
      <x:c r="A158" s="214"/>
      <x:c r="B158" s="214"/>
      <x:c r="C158" s="214"/>
      <x:c r="D158" s="214"/>
      <x:c r="E158" s="214"/>
      <x:c r="F158" s="214"/>
      <x:c r="G158" s="214"/>
      <x:c r="H158" s="214"/>
      <x:c r="I158" s="214"/>
      <x:c r="J158" s="214"/>
      <x:c r="K158" s="214"/>
      <x:c r="L158" s="214"/>
      <x:c r="M158" s="214"/>
      <x:c r="N158" s="214"/>
      <x:c r="O158" s="214"/>
      <x:c r="P158" s="214"/>
      <x:c r="Q158" s="214"/>
      <x:c r="R158" s="214"/>
      <x:c r="S158" s="214"/>
      <x:c r="T158" s="214"/>
    </x:row>
    <x:row r="159">
      <x:c r="A159" s="214"/>
      <x:c r="B159" s="214"/>
      <x:c r="C159" s="214"/>
      <x:c r="D159" s="214"/>
      <x:c r="E159" s="214"/>
      <x:c r="F159" s="214"/>
      <x:c r="G159" s="214"/>
      <x:c r="H159" s="214"/>
      <x:c r="I159" s="214"/>
      <x:c r="J159" s="214"/>
      <x:c r="K159" s="214"/>
      <x:c r="L159" s="214"/>
      <x:c r="M159" s="214"/>
      <x:c r="N159" s="214"/>
      <x:c r="O159" s="214"/>
      <x:c r="P159" s="214"/>
      <x:c r="Q159" s="214"/>
      <x:c r="R159" s="214"/>
      <x:c r="S159" s="214"/>
      <x:c r="T159" s="214"/>
    </x:row>
    <x:row r="160">
      <x:c r="A160" s="214"/>
      <x:c r="B160" s="214"/>
      <x:c r="C160" s="214"/>
      <x:c r="D160" s="214"/>
      <x:c r="E160" s="214"/>
      <x:c r="F160" s="214"/>
      <x:c r="G160" s="214"/>
      <x:c r="H160" s="214"/>
      <x:c r="I160" s="214"/>
      <x:c r="J160" s="214"/>
      <x:c r="K160" s="214"/>
      <x:c r="L160" s="214"/>
      <x:c r="M160" s="214"/>
      <x:c r="N160" s="214"/>
      <x:c r="O160" s="214"/>
      <x:c r="P160" s="214"/>
      <x:c r="Q160" s="214"/>
      <x:c r="R160" s="214"/>
      <x:c r="S160" s="214"/>
      <x:c r="T160" s="214"/>
    </x:row>
    <x:row r="161">
      <x:c r="A161" s="214"/>
      <x:c r="B161" s="214"/>
      <x:c r="C161" s="214"/>
      <x:c r="D161" s="214"/>
      <x:c r="E161" s="214"/>
      <x:c r="F161" s="214"/>
      <x:c r="G161" s="214"/>
      <x:c r="H161" s="214"/>
      <x:c r="I161" s="214"/>
      <x:c r="J161" s="214"/>
      <x:c r="K161" s="214"/>
      <x:c r="L161" s="214"/>
      <x:c r="M161" s="214"/>
      <x:c r="N161" s="214"/>
      <x:c r="O161" s="214"/>
      <x:c r="P161" s="214"/>
      <x:c r="Q161" s="214"/>
      <x:c r="R161" s="214"/>
      <x:c r="S161" s="214"/>
      <x:c r="T161" s="214"/>
    </x:row>
    <x:row r="162">
      <x:c r="A162" s="214"/>
      <x:c r="B162" s="214"/>
      <x:c r="C162" s="214"/>
      <x:c r="D162" s="214"/>
      <x:c r="E162" s="214"/>
      <x:c r="F162" s="214"/>
      <x:c r="G162" s="214"/>
      <x:c r="H162" s="214"/>
      <x:c r="I162" s="214"/>
      <x:c r="J162" s="214"/>
      <x:c r="K162" s="214"/>
      <x:c r="L162" s="214"/>
      <x:c r="M162" s="214"/>
      <x:c r="N162" s="214"/>
      <x:c r="O162" s="214"/>
      <x:c r="P162" s="214"/>
      <x:c r="Q162" s="214"/>
      <x:c r="R162" s="214"/>
      <x:c r="S162" s="214"/>
      <x:c r="T162" s="214"/>
    </x:row>
    <x:row r="163">
      <x:c r="A163" s="214"/>
      <x:c r="B163" s="214"/>
      <x:c r="C163" s="214"/>
      <x:c r="D163" s="214"/>
      <x:c r="E163" s="214"/>
      <x:c r="F163" s="214"/>
      <x:c r="G163" s="214"/>
      <x:c r="H163" s="214"/>
      <x:c r="I163" s="214"/>
      <x:c r="J163" s="214"/>
      <x:c r="K163" s="214"/>
      <x:c r="L163" s="214"/>
      <x:c r="M163" s="214"/>
      <x:c r="N163" s="214"/>
      <x:c r="O163" s="214"/>
      <x:c r="P163" s="214"/>
      <x:c r="Q163" s="214"/>
      <x:c r="R163" s="214"/>
      <x:c r="S163" s="214"/>
      <x:c r="T163" s="214"/>
    </x:row>
    <x:row r="164">
      <x:c r="A164" s="214"/>
      <x:c r="B164" s="214"/>
      <x:c r="C164" s="214"/>
      <x:c r="D164" s="214"/>
      <x:c r="E164" s="214"/>
      <x:c r="F164" s="214"/>
      <x:c r="G164" s="214"/>
      <x:c r="H164" s="214"/>
      <x:c r="I164" s="214"/>
      <x:c r="J164" s="214"/>
      <x:c r="K164" s="214"/>
      <x:c r="L164" s="214"/>
      <x:c r="M164" s="214"/>
      <x:c r="N164" s="214"/>
      <x:c r="O164" s="214"/>
      <x:c r="P164" s="214"/>
      <x:c r="Q164" s="214"/>
      <x:c r="R164" s="214"/>
      <x:c r="S164" s="214"/>
      <x:c r="T164" s="214"/>
    </x:row>
    <x:row r="165">
      <x:c r="A165" s="214"/>
      <x:c r="B165" s="214"/>
      <x:c r="C165" s="214"/>
      <x:c r="D165" s="214"/>
      <x:c r="E165" s="214"/>
      <x:c r="F165" s="214"/>
      <x:c r="G165" s="214"/>
      <x:c r="H165" s="214"/>
      <x:c r="I165" s="214"/>
      <x:c r="J165" s="214"/>
      <x:c r="K165" s="214"/>
      <x:c r="L165" s="214"/>
      <x:c r="M165" s="214"/>
      <x:c r="N165" s="214"/>
      <x:c r="O165" s="214"/>
      <x:c r="P165" s="214"/>
      <x:c r="Q165" s="214"/>
      <x:c r="R165" s="214"/>
      <x:c r="S165" s="214"/>
      <x:c r="T165" s="214"/>
    </x:row>
    <x:row r="166">
      <x:c r="A166" s="214"/>
      <x:c r="B166" s="214"/>
      <x:c r="C166" s="214"/>
      <x:c r="D166" s="214"/>
      <x:c r="E166" s="214"/>
      <x:c r="F166" s="214"/>
      <x:c r="G166" s="214"/>
      <x:c r="H166" s="214"/>
      <x:c r="I166" s="214"/>
      <x:c r="J166" s="214"/>
      <x:c r="K166" s="214"/>
      <x:c r="L166" s="214"/>
      <x:c r="M166" s="214"/>
      <x:c r="N166" s="214"/>
      <x:c r="O166" s="214"/>
      <x:c r="P166" s="214"/>
      <x:c r="Q166" s="214"/>
      <x:c r="R166" s="214"/>
      <x:c r="S166" s="214"/>
      <x:c r="T166" s="214"/>
    </x:row>
    <x:row r="167">
      <x:c r="A167" s="214"/>
      <x:c r="B167" s="214"/>
      <x:c r="C167" s="214"/>
      <x:c r="D167" s="214"/>
      <x:c r="E167" s="214"/>
      <x:c r="F167" s="214"/>
      <x:c r="G167" s="214"/>
      <x:c r="H167" s="214"/>
      <x:c r="I167" s="214"/>
      <x:c r="J167" s="214"/>
      <x:c r="K167" s="214"/>
      <x:c r="L167" s="214"/>
      <x:c r="M167" s="214"/>
      <x:c r="N167" s="214"/>
      <x:c r="O167" s="214"/>
      <x:c r="P167" s="214"/>
      <x:c r="Q167" s="214"/>
      <x:c r="R167" s="214"/>
      <x:c r="S167" s="214"/>
      <x:c r="T167" s="214"/>
    </x:row>
    <x:row r="168">
      <x:c r="A168" s="214"/>
      <x:c r="B168" s="214"/>
      <x:c r="C168" s="214"/>
      <x:c r="D168" s="214"/>
      <x:c r="E168" s="214"/>
      <x:c r="F168" s="214"/>
      <x:c r="G168" s="214"/>
      <x:c r="H168" s="214"/>
      <x:c r="I168" s="214"/>
      <x:c r="J168" s="214"/>
      <x:c r="K168" s="214"/>
      <x:c r="L168" s="214"/>
      <x:c r="M168" s="214"/>
      <x:c r="N168" s="214"/>
      <x:c r="O168" s="214"/>
      <x:c r="P168" s="214"/>
      <x:c r="Q168" s="214"/>
      <x:c r="R168" s="214"/>
      <x:c r="S168" s="214"/>
      <x:c r="T168" s="214"/>
    </x:row>
    <x:row r="169">
      <x:c r="A169" s="214"/>
      <x:c r="B169" s="214"/>
      <x:c r="C169" s="214"/>
      <x:c r="D169" s="214"/>
      <x:c r="E169" s="214"/>
      <x:c r="F169" s="214"/>
      <x:c r="G169" s="214"/>
      <x:c r="H169" s="214"/>
      <x:c r="I169" s="214"/>
      <x:c r="J169" s="214"/>
      <x:c r="K169" s="214"/>
      <x:c r="L169" s="214"/>
      <x:c r="M169" s="214"/>
      <x:c r="N169" s="214"/>
      <x:c r="O169" s="214"/>
      <x:c r="P169" s="214"/>
      <x:c r="Q169" s="214"/>
      <x:c r="R169" s="214"/>
      <x:c r="S169" s="214"/>
      <x:c r="T169" s="214"/>
    </x:row>
    <x:row r="170">
      <x:c r="A170" s="214"/>
      <x:c r="B170" s="214"/>
      <x:c r="C170" s="214"/>
      <x:c r="D170" s="214"/>
      <x:c r="E170" s="214"/>
      <x:c r="F170" s="214"/>
      <x:c r="G170" s="214"/>
      <x:c r="H170" s="214"/>
      <x:c r="I170" s="214"/>
      <x:c r="J170" s="214"/>
      <x:c r="K170" s="214"/>
      <x:c r="L170" s="214"/>
      <x:c r="M170" s="214"/>
      <x:c r="N170" s="214"/>
      <x:c r="O170" s="214"/>
      <x:c r="P170" s="214"/>
      <x:c r="Q170" s="214"/>
      <x:c r="R170" s="214"/>
      <x:c r="S170" s="214"/>
      <x:c r="T170" s="214"/>
    </x:row>
    <x:row r="171">
      <x:c r="A171" s="214"/>
      <x:c r="B171" s="214"/>
      <x:c r="C171" s="214"/>
      <x:c r="D171" s="214"/>
      <x:c r="E171" s="214"/>
      <x:c r="F171" s="214"/>
      <x:c r="G171" s="214"/>
      <x:c r="H171" s="214"/>
      <x:c r="I171" s="214"/>
      <x:c r="J171" s="214"/>
      <x:c r="K171" s="214"/>
      <x:c r="L171" s="214"/>
      <x:c r="M171" s="214"/>
      <x:c r="N171" s="214"/>
      <x:c r="O171" s="214"/>
      <x:c r="P171" s="214"/>
      <x:c r="Q171" s="214"/>
      <x:c r="R171" s="214"/>
      <x:c r="S171" s="214"/>
      <x:c r="T171" s="214"/>
    </x:row>
    <x:row r="172">
      <x:c r="A172" s="214"/>
      <x:c r="B172" s="214"/>
      <x:c r="C172" s="214"/>
      <x:c r="D172" s="214"/>
      <x:c r="E172" s="214"/>
      <x:c r="F172" s="214"/>
      <x:c r="G172" s="214"/>
      <x:c r="H172" s="214"/>
      <x:c r="I172" s="214"/>
      <x:c r="J172" s="214"/>
      <x:c r="K172" s="214"/>
      <x:c r="L172" s="214"/>
      <x:c r="M172" s="214"/>
      <x:c r="N172" s="214"/>
      <x:c r="O172" s="214"/>
      <x:c r="P172" s="214"/>
      <x:c r="Q172" s="214"/>
      <x:c r="R172" s="214"/>
      <x:c r="S172" s="214"/>
      <x:c r="T172" s="214"/>
    </x:row>
    <x:row r="173">
      <x:c r="A173" s="214"/>
      <x:c r="B173" s="214"/>
      <x:c r="C173" s="214"/>
      <x:c r="D173" s="214"/>
      <x:c r="E173" s="214"/>
      <x:c r="F173" s="214"/>
      <x:c r="G173" s="214"/>
      <x:c r="H173" s="214"/>
      <x:c r="I173" s="214"/>
      <x:c r="J173" s="214"/>
      <x:c r="K173" s="214"/>
      <x:c r="L173" s="214"/>
      <x:c r="M173" s="214"/>
      <x:c r="N173" s="214"/>
      <x:c r="O173" s="214"/>
      <x:c r="P173" s="214"/>
      <x:c r="Q173" s="214"/>
      <x:c r="R173" s="214"/>
      <x:c r="S173" s="214"/>
      <x:c r="T173" s="214"/>
    </x:row>
    <x:row r="174">
      <x:c r="A174" s="214"/>
      <x:c r="B174" s="214"/>
      <x:c r="C174" s="214"/>
      <x:c r="D174" s="214"/>
      <x:c r="E174" s="214"/>
      <x:c r="F174" s="214"/>
      <x:c r="G174" s="214"/>
      <x:c r="H174" s="214"/>
      <x:c r="I174" s="214"/>
      <x:c r="J174" s="214"/>
      <x:c r="K174" s="214"/>
      <x:c r="L174" s="214"/>
      <x:c r="M174" s="214"/>
      <x:c r="N174" s="214"/>
      <x:c r="O174" s="214"/>
      <x:c r="P174" s="214"/>
      <x:c r="Q174" s="214"/>
      <x:c r="R174" s="214"/>
      <x:c r="S174" s="214"/>
      <x:c r="T174" s="214"/>
    </x:row>
    <x:row r="175">
      <x:c r="A175" s="214"/>
      <x:c r="B175" s="214"/>
      <x:c r="C175" s="214"/>
      <x:c r="D175" s="214"/>
      <x:c r="E175" s="214"/>
      <x:c r="F175" s="214"/>
      <x:c r="G175" s="214"/>
      <x:c r="H175" s="214"/>
      <x:c r="I175" s="214"/>
      <x:c r="J175" s="214"/>
      <x:c r="K175" s="214"/>
      <x:c r="L175" s="214"/>
      <x:c r="M175" s="214"/>
      <x:c r="N175" s="214"/>
      <x:c r="O175" s="214"/>
      <x:c r="P175" s="214"/>
      <x:c r="Q175" s="214"/>
      <x:c r="R175" s="214"/>
      <x:c r="S175" s="214"/>
      <x:c r="T175" s="214"/>
    </x:row>
    <x:row r="176">
      <x:c r="A176" s="214"/>
      <x:c r="B176" s="214"/>
      <x:c r="C176" s="214"/>
      <x:c r="D176" s="214"/>
      <x:c r="E176" s="214"/>
      <x:c r="F176" s="214"/>
      <x:c r="G176" s="214"/>
      <x:c r="H176" s="214"/>
      <x:c r="I176" s="214"/>
      <x:c r="J176" s="214"/>
      <x:c r="K176" s="214"/>
      <x:c r="L176" s="214"/>
      <x:c r="M176" s="214"/>
      <x:c r="N176" s="214"/>
      <x:c r="O176" s="214"/>
      <x:c r="P176" s="214"/>
      <x:c r="Q176" s="214"/>
      <x:c r="R176" s="214"/>
      <x:c r="S176" s="214"/>
      <x:c r="T176" s="214"/>
    </x:row>
    <x:row r="177">
      <x:c r="A177" s="214"/>
      <x:c r="B177" s="214"/>
      <x:c r="C177" s="214"/>
      <x:c r="D177" s="214"/>
      <x:c r="E177" s="214"/>
      <x:c r="F177" s="214"/>
      <x:c r="G177" s="214"/>
      <x:c r="H177" s="214"/>
      <x:c r="I177" s="214"/>
      <x:c r="J177" s="214"/>
      <x:c r="K177" s="214"/>
      <x:c r="L177" s="214"/>
      <x:c r="M177" s="214"/>
      <x:c r="N177" s="214"/>
      <x:c r="O177" s="214"/>
      <x:c r="P177" s="214"/>
      <x:c r="Q177" s="214"/>
      <x:c r="R177" s="214"/>
      <x:c r="S177" s="214"/>
      <x:c r="T177" s="214"/>
    </x:row>
    <x:row r="178">
      <x:c r="A178" s="214"/>
      <x:c r="B178" s="214"/>
      <x:c r="C178" s="214"/>
      <x:c r="D178" s="214"/>
      <x:c r="E178" s="214"/>
      <x:c r="F178" s="214"/>
      <x:c r="G178" s="214"/>
      <x:c r="H178" s="214"/>
      <x:c r="I178" s="214"/>
      <x:c r="J178" s="214"/>
      <x:c r="K178" s="214"/>
      <x:c r="L178" s="214"/>
      <x:c r="M178" s="214"/>
      <x:c r="N178" s="214"/>
      <x:c r="O178" s="214"/>
      <x:c r="P178" s="214"/>
      <x:c r="Q178" s="214"/>
      <x:c r="R178" s="214"/>
      <x:c r="S178" s="214"/>
      <x:c r="T178" s="214"/>
    </x:row>
    <x:row r="179">
      <x:c r="A179" s="214"/>
      <x:c r="B179" s="214"/>
      <x:c r="C179" s="214"/>
      <x:c r="D179" s="214"/>
      <x:c r="E179" s="214"/>
      <x:c r="F179" s="214"/>
      <x:c r="G179" s="214"/>
      <x:c r="H179" s="214"/>
      <x:c r="I179" s="214"/>
      <x:c r="J179" s="214"/>
      <x:c r="K179" s="214"/>
      <x:c r="L179" s="214"/>
      <x:c r="M179" s="214"/>
      <x:c r="N179" s="214"/>
      <x:c r="O179" s="214"/>
      <x:c r="P179" s="214"/>
      <x:c r="Q179" s="214"/>
      <x:c r="R179" s="214"/>
      <x:c r="S179" s="214"/>
      <x:c r="T179" s="214"/>
    </x:row>
    <x:row r="180">
      <x:c r="A180" s="214"/>
      <x:c r="B180" s="214"/>
      <x:c r="C180" s="214"/>
      <x:c r="D180" s="214"/>
      <x:c r="E180" s="214"/>
      <x:c r="F180" s="214"/>
      <x:c r="G180" s="214"/>
      <x:c r="H180" s="214"/>
      <x:c r="I180" s="214"/>
      <x:c r="J180" s="214"/>
      <x:c r="K180" s="214"/>
      <x:c r="L180" s="214"/>
      <x:c r="M180" s="214"/>
      <x:c r="N180" s="214"/>
      <x:c r="O180" s="214"/>
      <x:c r="P180" s="214"/>
      <x:c r="Q180" s="214"/>
      <x:c r="R180" s="214"/>
      <x:c r="S180" s="214"/>
      <x:c r="T180" s="214"/>
    </x:row>
    <x:row r="181">
      <x:c r="A181" s="214"/>
      <x:c r="B181" s="214"/>
      <x:c r="C181" s="214"/>
      <x:c r="D181" s="214"/>
      <x:c r="E181" s="214"/>
      <x:c r="F181" s="214"/>
      <x:c r="G181" s="214"/>
      <x:c r="H181" s="214"/>
      <x:c r="I181" s="214"/>
      <x:c r="J181" s="214"/>
      <x:c r="K181" s="214"/>
      <x:c r="L181" s="214"/>
      <x:c r="M181" s="214"/>
      <x:c r="N181" s="214"/>
      <x:c r="O181" s="214"/>
      <x:c r="P181" s="214"/>
      <x:c r="Q181" s="214"/>
      <x:c r="R181" s="214"/>
      <x:c r="S181" s="214"/>
      <x:c r="T181" s="214"/>
    </x:row>
    <x:row r="182">
      <x:c r="A182" s="214"/>
      <x:c r="B182" s="214"/>
      <x:c r="C182" s="214"/>
      <x:c r="D182" s="214"/>
      <x:c r="E182" s="214"/>
      <x:c r="F182" s="214"/>
      <x:c r="G182" s="214"/>
      <x:c r="H182" s="214"/>
      <x:c r="I182" s="214"/>
      <x:c r="J182" s="214"/>
      <x:c r="K182" s="214"/>
      <x:c r="L182" s="214"/>
      <x:c r="M182" s="214"/>
      <x:c r="N182" s="214"/>
      <x:c r="O182" s="214"/>
      <x:c r="P182" s="214"/>
      <x:c r="Q182" s="214"/>
      <x:c r="R182" s="214"/>
      <x:c r="S182" s="214"/>
      <x:c r="T182" s="214"/>
    </x:row>
    <x:row r="183">
      <x:c r="A183" s="214"/>
      <x:c r="B183" s="214"/>
      <x:c r="C183" s="214"/>
      <x:c r="D183" s="214"/>
      <x:c r="E183" s="214"/>
      <x:c r="F183" s="214"/>
      <x:c r="G183" s="214"/>
      <x:c r="H183" s="214"/>
      <x:c r="I183" s="214"/>
      <x:c r="J183" s="214"/>
      <x:c r="K183" s="214"/>
      <x:c r="L183" s="214"/>
      <x:c r="M183" s="214"/>
      <x:c r="N183" s="214"/>
      <x:c r="O183" s="214"/>
      <x:c r="P183" s="214"/>
      <x:c r="Q183" s="214"/>
      <x:c r="R183" s="214"/>
      <x:c r="S183" s="214"/>
      <x:c r="T183" s="214"/>
    </x:row>
    <x:row r="184">
      <x:c r="A184" s="214"/>
      <x:c r="B184" s="214"/>
      <x:c r="C184" s="214"/>
      <x:c r="D184" s="214"/>
      <x:c r="E184" s="214"/>
      <x:c r="F184" s="214"/>
      <x:c r="G184" s="214"/>
      <x:c r="H184" s="214"/>
      <x:c r="I184" s="214"/>
      <x:c r="J184" s="214"/>
      <x:c r="K184" s="214"/>
      <x:c r="L184" s="214"/>
      <x:c r="M184" s="214"/>
      <x:c r="N184" s="214"/>
      <x:c r="O184" s="214"/>
      <x:c r="P184" s="214"/>
      <x:c r="Q184" s="214"/>
      <x:c r="R184" s="214"/>
      <x:c r="S184" s="214"/>
      <x:c r="T184" s="214"/>
    </x:row>
    <x:row r="185">
      <x:c r="A185" s="214"/>
      <x:c r="B185" s="214"/>
      <x:c r="C185" s="214"/>
      <x:c r="D185" s="214"/>
      <x:c r="E185" s="214"/>
      <x:c r="F185" s="214"/>
      <x:c r="G185" s="214"/>
      <x:c r="H185" s="214"/>
      <x:c r="I185" s="214"/>
      <x:c r="J185" s="214"/>
      <x:c r="K185" s="214"/>
      <x:c r="L185" s="214"/>
      <x:c r="M185" s="214"/>
      <x:c r="N185" s="214"/>
      <x:c r="O185" s="214"/>
      <x:c r="P185" s="214"/>
      <x:c r="Q185" s="214"/>
      <x:c r="R185" s="214"/>
      <x:c r="S185" s="214"/>
      <x:c r="T185" s="214"/>
    </x:row>
    <x:row r="186">
      <x:c r="A186" s="214"/>
      <x:c r="B186" s="214"/>
      <x:c r="C186" s="214"/>
      <x:c r="D186" s="214"/>
      <x:c r="E186" s="214"/>
      <x:c r="F186" s="214"/>
      <x:c r="G186" s="214"/>
      <x:c r="H186" s="214"/>
      <x:c r="I186" s="214"/>
      <x:c r="J186" s="214"/>
      <x:c r="K186" s="214"/>
      <x:c r="L186" s="214"/>
      <x:c r="M186" s="214"/>
      <x:c r="N186" s="214"/>
      <x:c r="O186" s="214"/>
      <x:c r="P186" s="214"/>
      <x:c r="Q186" s="214"/>
      <x:c r="R186" s="214"/>
      <x:c r="S186" s="214"/>
      <x:c r="T186" s="214"/>
    </x:row>
    <x:row r="187">
      <x:c r="A187" s="214"/>
      <x:c r="B187" s="214"/>
      <x:c r="C187" s="214"/>
      <x:c r="D187" s="214"/>
      <x:c r="E187" s="214"/>
      <x:c r="F187" s="214"/>
      <x:c r="G187" s="214"/>
      <x:c r="H187" s="214"/>
      <x:c r="I187" s="214"/>
      <x:c r="J187" s="214"/>
      <x:c r="K187" s="214"/>
      <x:c r="L187" s="214"/>
      <x:c r="M187" s="214"/>
      <x:c r="N187" s="214"/>
      <x:c r="O187" s="214"/>
      <x:c r="P187" s="214"/>
      <x:c r="Q187" s="214"/>
      <x:c r="R187" s="214"/>
      <x:c r="S187" s="214"/>
      <x:c r="T187" s="214"/>
    </x:row>
    <x:row r="188">
      <x:c r="A188" s="214"/>
      <x:c r="B188" s="214"/>
      <x:c r="C188" s="214"/>
      <x:c r="D188" s="214"/>
      <x:c r="E188" s="214"/>
      <x:c r="F188" s="214"/>
      <x:c r="G188" s="214"/>
      <x:c r="H188" s="214"/>
      <x:c r="I188" s="214"/>
      <x:c r="J188" s="214"/>
      <x:c r="K188" s="214"/>
      <x:c r="L188" s="214"/>
      <x:c r="M188" s="214"/>
      <x:c r="N188" s="214"/>
      <x:c r="O188" s="214"/>
      <x:c r="P188" s="214"/>
      <x:c r="Q188" s="214"/>
      <x:c r="R188" s="214"/>
      <x:c r="S188" s="214"/>
      <x:c r="T188" s="214"/>
    </x:row>
    <x:row r="189">
      <x:c r="A189" s="214"/>
      <x:c r="B189" s="214"/>
      <x:c r="C189" s="214"/>
      <x:c r="D189" s="214"/>
      <x:c r="E189" s="214"/>
      <x:c r="F189" s="214"/>
      <x:c r="G189" s="214"/>
      <x:c r="H189" s="214"/>
      <x:c r="I189" s="214"/>
      <x:c r="J189" s="214"/>
      <x:c r="K189" s="214"/>
      <x:c r="L189" s="214"/>
      <x:c r="M189" s="214"/>
      <x:c r="N189" s="214"/>
      <x:c r="O189" s="214"/>
      <x:c r="P189" s="214"/>
      <x:c r="Q189" s="214"/>
      <x:c r="R189" s="214"/>
      <x:c r="S189" s="214"/>
      <x:c r="T189" s="214"/>
    </x:row>
    <x:row r="190">
      <x:c r="A190" s="214"/>
      <x:c r="B190" s="214"/>
      <x:c r="C190" s="214"/>
      <x:c r="D190" s="214"/>
      <x:c r="E190" s="214"/>
      <x:c r="F190" s="214"/>
      <x:c r="G190" s="214"/>
      <x:c r="H190" s="214"/>
      <x:c r="I190" s="214"/>
      <x:c r="J190" s="214"/>
      <x:c r="K190" s="214"/>
      <x:c r="L190" s="214"/>
      <x:c r="M190" s="214"/>
      <x:c r="N190" s="214"/>
      <x:c r="O190" s="214"/>
      <x:c r="P190" s="214"/>
      <x:c r="Q190" s="214"/>
      <x:c r="R190" s="214"/>
      <x:c r="S190" s="214"/>
      <x:c r="T190" s="214"/>
    </x:row>
    <x:row r="191">
      <x:c r="A191" s="214"/>
      <x:c r="B191" s="214"/>
      <x:c r="C191" s="214"/>
      <x:c r="D191" s="214"/>
      <x:c r="E191" s="214"/>
      <x:c r="F191" s="214"/>
      <x:c r="G191" s="214"/>
      <x:c r="H191" s="214"/>
      <x:c r="I191" s="214"/>
      <x:c r="J191" s="214"/>
      <x:c r="K191" s="214"/>
      <x:c r="L191" s="214"/>
      <x:c r="M191" s="214"/>
      <x:c r="N191" s="214"/>
      <x:c r="O191" s="214"/>
      <x:c r="P191" s="214"/>
      <x:c r="Q191" s="214"/>
      <x:c r="R191" s="214"/>
      <x:c r="S191" s="214"/>
      <x:c r="T191" s="214"/>
    </x:row>
    <x:row r="192">
      <x:c r="A192" s="214"/>
      <x:c r="B192" s="214"/>
      <x:c r="C192" s="214"/>
      <x:c r="D192" s="214"/>
      <x:c r="E192" s="214"/>
      <x:c r="F192" s="214"/>
      <x:c r="G192" s="214"/>
      <x:c r="H192" s="214"/>
      <x:c r="I192" s="214"/>
      <x:c r="J192" s="214"/>
      <x:c r="K192" s="214"/>
      <x:c r="L192" s="214"/>
      <x:c r="M192" s="214"/>
      <x:c r="N192" s="214"/>
      <x:c r="O192" s="214"/>
      <x:c r="P192" s="214"/>
      <x:c r="Q192" s="214"/>
      <x:c r="R192" s="214"/>
      <x:c r="S192" s="214"/>
      <x:c r="T192" s="214"/>
    </x:row>
    <x:row r="193">
      <x:c r="A193" s="214"/>
      <x:c r="B193" s="214"/>
      <x:c r="C193" s="214"/>
      <x:c r="D193" s="214"/>
      <x:c r="E193" s="214"/>
      <x:c r="F193" s="214"/>
      <x:c r="G193" s="214"/>
      <x:c r="H193" s="214"/>
      <x:c r="I193" s="214"/>
      <x:c r="J193" s="214"/>
      <x:c r="K193" s="214"/>
      <x:c r="L193" s="214"/>
      <x:c r="M193" s="214"/>
      <x:c r="N193" s="214"/>
      <x:c r="O193" s="214"/>
      <x:c r="P193" s="214"/>
      <x:c r="Q193" s="214"/>
      <x:c r="R193" s="214"/>
      <x:c r="S193" s="214"/>
      <x:c r="T193" s="214"/>
    </x:row>
    <x:row r="194">
      <x:c r="A194" s="214"/>
      <x:c r="B194" s="214"/>
      <x:c r="C194" s="214"/>
      <x:c r="D194" s="214"/>
      <x:c r="E194" s="214"/>
      <x:c r="F194" s="214"/>
      <x:c r="G194" s="214"/>
      <x:c r="H194" s="214"/>
      <x:c r="I194" s="214"/>
      <x:c r="J194" s="214"/>
      <x:c r="K194" s="214"/>
      <x:c r="L194" s="214"/>
      <x:c r="M194" s="214"/>
      <x:c r="N194" s="214"/>
      <x:c r="O194" s="214"/>
      <x:c r="P194" s="214"/>
      <x:c r="Q194" s="214"/>
      <x:c r="R194" s="214"/>
      <x:c r="S194" s="214"/>
      <x:c r="T194" s="214"/>
    </x:row>
    <x:row r="195">
      <x:c r="A195" s="214"/>
      <x:c r="B195" s="214"/>
      <x:c r="C195" s="214"/>
      <x:c r="D195" s="214"/>
      <x:c r="E195" s="214"/>
      <x:c r="F195" s="214"/>
      <x:c r="G195" s="214"/>
      <x:c r="H195" s="214"/>
      <x:c r="I195" s="214"/>
      <x:c r="J195" s="214"/>
      <x:c r="K195" s="214"/>
      <x:c r="L195" s="214"/>
      <x:c r="M195" s="214"/>
      <x:c r="N195" s="214"/>
      <x:c r="O195" s="214"/>
      <x:c r="P195" s="214"/>
      <x:c r="Q195" s="214"/>
      <x:c r="R195" s="214"/>
      <x:c r="S195" s="214"/>
      <x:c r="T195" s="214"/>
    </x:row>
    <x:row r="196">
      <x:c r="A196" s="214"/>
      <x:c r="B196" s="214"/>
      <x:c r="C196" s="214"/>
      <x:c r="D196" s="214"/>
      <x:c r="E196" s="214"/>
      <x:c r="F196" s="214"/>
      <x:c r="G196" s="214"/>
      <x:c r="H196" s="214"/>
      <x:c r="I196" s="214"/>
      <x:c r="J196" s="214"/>
      <x:c r="K196" s="214"/>
      <x:c r="L196" s="214"/>
      <x:c r="M196" s="214"/>
      <x:c r="N196" s="214"/>
      <x:c r="O196" s="214"/>
      <x:c r="P196" s="214"/>
      <x:c r="Q196" s="214"/>
      <x:c r="R196" s="214"/>
      <x:c r="S196" s="214"/>
      <x:c r="T196" s="214"/>
    </x:row>
    <x:row r="197">
      <x:c r="A197" s="214"/>
      <x:c r="B197" s="214"/>
      <x:c r="C197" s="214"/>
      <x:c r="D197" s="214"/>
      <x:c r="E197" s="214"/>
      <x:c r="F197" s="214"/>
      <x:c r="G197" s="214"/>
      <x:c r="H197" s="214"/>
      <x:c r="I197" s="214"/>
      <x:c r="J197" s="214"/>
      <x:c r="K197" s="214"/>
      <x:c r="L197" s="214"/>
      <x:c r="M197" s="214"/>
      <x:c r="N197" s="214"/>
      <x:c r="O197" s="214"/>
      <x:c r="P197" s="214"/>
      <x:c r="Q197" s="214"/>
      <x:c r="R197" s="214"/>
      <x:c r="S197" s="214"/>
      <x:c r="T197" s="214"/>
    </x:row>
    <x:row r="198">
      <x:c r="A198" s="214"/>
      <x:c r="B198" s="214"/>
      <x:c r="C198" s="214"/>
      <x:c r="D198" s="214"/>
      <x:c r="E198" s="214"/>
      <x:c r="F198" s="214"/>
      <x:c r="G198" s="214"/>
      <x:c r="H198" s="214"/>
      <x:c r="I198" s="214"/>
      <x:c r="J198" s="214"/>
      <x:c r="K198" s="214"/>
      <x:c r="L198" s="214"/>
      <x:c r="M198" s="214"/>
      <x:c r="N198" s="214"/>
      <x:c r="O198" s="214"/>
      <x:c r="P198" s="214"/>
      <x:c r="Q198" s="214"/>
      <x:c r="R198" s="214"/>
      <x:c r="S198" s="214"/>
      <x:c r="T198" s="214"/>
    </x:row>
    <x:row r="199">
      <x:c r="A199" s="214"/>
      <x:c r="B199" s="214"/>
      <x:c r="C199" s="214"/>
      <x:c r="D199" s="214"/>
      <x:c r="E199" s="214"/>
      <x:c r="F199" s="214"/>
      <x:c r="G199" s="214"/>
      <x:c r="H199" s="214"/>
      <x:c r="I199" s="214"/>
      <x:c r="J199" s="214"/>
      <x:c r="K199" s="214"/>
      <x:c r="L199" s="214"/>
      <x:c r="M199" s="214"/>
      <x:c r="N199" s="214"/>
      <x:c r="O199" s="214"/>
      <x:c r="P199" s="214"/>
      <x:c r="Q199" s="214"/>
      <x:c r="R199" s="214"/>
      <x:c r="S199" s="214"/>
      <x:c r="T199" s="214"/>
    </x:row>
    <x:row r="200">
      <x:c r="A200" s="214"/>
      <x:c r="B200" s="214"/>
      <x:c r="C200" s="214"/>
      <x:c r="D200" s="214"/>
      <x:c r="E200" s="214"/>
      <x:c r="F200" s="214"/>
      <x:c r="G200" s="214"/>
      <x:c r="H200" s="214"/>
      <x:c r="I200" s="214"/>
      <x:c r="J200" s="214"/>
      <x:c r="K200" s="214"/>
      <x:c r="L200" s="214"/>
      <x:c r="M200" s="214"/>
      <x:c r="N200" s="214"/>
      <x:c r="O200" s="214"/>
      <x:c r="P200" s="214"/>
      <x:c r="Q200" s="214"/>
      <x:c r="R200" s="214"/>
      <x:c r="S200" s="214"/>
      <x:c r="T200" s="214"/>
    </x:row>
    <x:row r="201">
      <x:c r="A201" s="214"/>
      <x:c r="B201" s="214"/>
      <x:c r="C201" s="214"/>
      <x:c r="D201" s="214"/>
      <x:c r="E201" s="214"/>
      <x:c r="F201" s="214"/>
      <x:c r="G201" s="214"/>
      <x:c r="H201" s="214"/>
      <x:c r="I201" s="214"/>
      <x:c r="J201" s="214"/>
      <x:c r="K201" s="214"/>
      <x:c r="L201" s="214"/>
      <x:c r="M201" s="214"/>
      <x:c r="N201" s="214"/>
      <x:c r="O201" s="214"/>
      <x:c r="P201" s="214"/>
      <x:c r="Q201" s="214"/>
      <x:c r="R201" s="214"/>
      <x:c r="S201" s="214"/>
      <x:c r="T201" s="214"/>
    </x:row>
    <x:row r="202">
      <x:c r="A202" s="214"/>
      <x:c r="B202" s="214"/>
      <x:c r="C202" s="214"/>
      <x:c r="D202" s="214"/>
      <x:c r="E202" s="214"/>
      <x:c r="F202" s="214"/>
      <x:c r="G202" s="214"/>
      <x:c r="H202" s="214"/>
      <x:c r="I202" s="214"/>
      <x:c r="J202" s="214"/>
      <x:c r="K202" s="214"/>
      <x:c r="L202" s="214"/>
      <x:c r="M202" s="214"/>
      <x:c r="N202" s="214"/>
      <x:c r="O202" s="214"/>
      <x:c r="P202" s="214"/>
      <x:c r="Q202" s="214"/>
      <x:c r="R202" s="214"/>
      <x:c r="S202" s="214"/>
      <x:c r="T202" s="214"/>
    </x:row>
    <x:row r="203">
      <x:c r="A203" s="214"/>
      <x:c r="B203" s="214"/>
      <x:c r="C203" s="214"/>
      <x:c r="D203" s="214"/>
      <x:c r="E203" s="214"/>
      <x:c r="F203" s="214"/>
      <x:c r="G203" s="214"/>
      <x:c r="H203" s="214"/>
      <x:c r="I203" s="214"/>
      <x:c r="J203" s="214"/>
      <x:c r="K203" s="214"/>
      <x:c r="L203" s="214"/>
      <x:c r="M203" s="214"/>
      <x:c r="N203" s="214"/>
      <x:c r="O203" s="214"/>
      <x:c r="P203" s="214"/>
      <x:c r="Q203" s="214"/>
      <x:c r="R203" s="214"/>
      <x:c r="S203" s="214"/>
      <x:c r="T203" s="214"/>
    </x:row>
    <x:row r="204">
      <x:c r="A204" s="214"/>
      <x:c r="B204" s="214"/>
      <x:c r="C204" s="214"/>
      <x:c r="D204" s="214"/>
      <x:c r="E204" s="214"/>
      <x:c r="F204" s="214"/>
      <x:c r="G204" s="214"/>
      <x:c r="H204" s="214"/>
      <x:c r="I204" s="214"/>
      <x:c r="J204" s="214"/>
      <x:c r="K204" s="214"/>
      <x:c r="L204" s="214"/>
      <x:c r="M204" s="214"/>
      <x:c r="N204" s="214"/>
      <x:c r="O204" s="214"/>
      <x:c r="P204" s="214"/>
      <x:c r="Q204" s="214"/>
      <x:c r="R204" s="214"/>
      <x:c r="S204" s="214"/>
      <x:c r="T204" s="214"/>
    </x:row>
    <x:row r="205">
      <x:c r="A205" s="214"/>
      <x:c r="B205" s="214"/>
      <x:c r="C205" s="214"/>
      <x:c r="D205" s="214"/>
      <x:c r="E205" s="214"/>
      <x:c r="F205" s="214"/>
      <x:c r="G205" s="214"/>
      <x:c r="H205" s="214"/>
      <x:c r="I205" s="214"/>
      <x:c r="J205" s="214"/>
      <x:c r="K205" s="214"/>
      <x:c r="L205" s="214"/>
      <x:c r="M205" s="214"/>
      <x:c r="N205" s="214"/>
      <x:c r="O205" s="214"/>
      <x:c r="P205" s="214"/>
      <x:c r="Q205" s="214"/>
      <x:c r="R205" s="214"/>
      <x:c r="S205" s="214"/>
      <x:c r="T205" s="214"/>
    </x:row>
    <x:row r="206">
      <x:c r="A206" s="214"/>
      <x:c r="B206" s="214"/>
      <x:c r="C206" s="214"/>
      <x:c r="D206" s="214"/>
      <x:c r="E206" s="214"/>
      <x:c r="F206" s="214"/>
      <x:c r="G206" s="214"/>
      <x:c r="H206" s="214"/>
      <x:c r="I206" s="214"/>
      <x:c r="J206" s="214"/>
      <x:c r="K206" s="214"/>
      <x:c r="L206" s="214"/>
      <x:c r="M206" s="214"/>
      <x:c r="N206" s="214"/>
      <x:c r="O206" s="214"/>
      <x:c r="P206" s="214"/>
      <x:c r="Q206" s="214"/>
      <x:c r="R206" s="214"/>
      <x:c r="S206" s="214"/>
      <x:c r="T206" s="214"/>
    </x:row>
    <x:row r="207">
      <x:c r="A207" s="214"/>
      <x:c r="B207" s="214"/>
      <x:c r="C207" s="214"/>
      <x:c r="D207" s="214"/>
      <x:c r="E207" s="214"/>
      <x:c r="F207" s="214"/>
      <x:c r="G207" s="214"/>
      <x:c r="H207" s="214"/>
      <x:c r="I207" s="214"/>
      <x:c r="J207" s="214"/>
      <x:c r="K207" s="214"/>
      <x:c r="L207" s="214"/>
      <x:c r="M207" s="214"/>
      <x:c r="N207" s="214"/>
      <x:c r="O207" s="214"/>
      <x:c r="P207" s="214"/>
      <x:c r="Q207" s="214"/>
      <x:c r="R207" s="214"/>
      <x:c r="S207" s="214"/>
      <x:c r="T207" s="214"/>
    </x:row>
    <x:row r="208">
      <x:c r="A208" s="214"/>
      <x:c r="B208" s="214"/>
      <x:c r="C208" s="214"/>
      <x:c r="D208" s="214"/>
      <x:c r="E208" s="214"/>
      <x:c r="F208" s="214"/>
      <x:c r="G208" s="214"/>
      <x:c r="H208" s="214"/>
      <x:c r="I208" s="214"/>
      <x:c r="J208" s="214"/>
      <x:c r="K208" s="214"/>
      <x:c r="L208" s="214"/>
      <x:c r="M208" s="214"/>
      <x:c r="N208" s="214"/>
      <x:c r="O208" s="214"/>
      <x:c r="P208" s="214"/>
      <x:c r="Q208" s="214"/>
      <x:c r="R208" s="214"/>
      <x:c r="S208" s="214"/>
      <x:c r="T208" s="214"/>
    </x:row>
    <x:row r="209">
      <x:c r="A209" s="214"/>
      <x:c r="B209" s="214"/>
      <x:c r="C209" s="214"/>
      <x:c r="D209" s="214"/>
      <x:c r="E209" s="214"/>
      <x:c r="F209" s="214"/>
      <x:c r="G209" s="214"/>
      <x:c r="H209" s="214"/>
      <x:c r="I209" s="214"/>
      <x:c r="J209" s="214"/>
      <x:c r="K209" s="214"/>
      <x:c r="L209" s="214"/>
      <x:c r="M209" s="214"/>
      <x:c r="N209" s="214"/>
      <x:c r="O209" s="214"/>
      <x:c r="P209" s="214"/>
      <x:c r="Q209" s="214"/>
      <x:c r="R209" s="214"/>
      <x:c r="S209" s="214"/>
      <x:c r="T209" s="214"/>
    </x:row>
    <x:row r="210">
      <x:c r="A210" s="214"/>
      <x:c r="B210" s="214"/>
      <x:c r="C210" s="214"/>
      <x:c r="D210" s="214"/>
      <x:c r="E210" s="214"/>
      <x:c r="F210" s="214"/>
      <x:c r="G210" s="214"/>
      <x:c r="H210" s="214"/>
      <x:c r="I210" s="214"/>
      <x:c r="J210" s="214"/>
      <x:c r="K210" s="214"/>
      <x:c r="L210" s="214"/>
      <x:c r="M210" s="214"/>
      <x:c r="N210" s="214"/>
      <x:c r="O210" s="214"/>
      <x:c r="P210" s="214"/>
      <x:c r="Q210" s="214"/>
      <x:c r="R210" s="214"/>
      <x:c r="S210" s="214"/>
      <x:c r="T210" s="214"/>
    </x:row>
    <x:row r="211">
      <x:c r="A211" s="214"/>
      <x:c r="B211" s="214"/>
      <x:c r="C211" s="214"/>
      <x:c r="D211" s="214"/>
      <x:c r="E211" s="214"/>
      <x:c r="F211" s="214"/>
      <x:c r="G211" s="214"/>
      <x:c r="H211" s="214"/>
      <x:c r="I211" s="214"/>
      <x:c r="J211" s="214"/>
      <x:c r="K211" s="214"/>
      <x:c r="L211" s="214"/>
      <x:c r="M211" s="214"/>
      <x:c r="N211" s="214"/>
      <x:c r="O211" s="214"/>
      <x:c r="P211" s="214"/>
      <x:c r="Q211" s="214"/>
      <x:c r="R211" s="214"/>
      <x:c r="S211" s="214"/>
      <x:c r="T211" s="214"/>
    </x:row>
    <x:row r="212">
      <x:c r="A212" s="214"/>
      <x:c r="B212" s="214"/>
      <x:c r="C212" s="214"/>
      <x:c r="D212" s="214"/>
      <x:c r="E212" s="214"/>
      <x:c r="F212" s="214"/>
      <x:c r="G212" s="214"/>
      <x:c r="H212" s="214"/>
      <x:c r="I212" s="214"/>
      <x:c r="J212" s="214"/>
      <x:c r="K212" s="214"/>
      <x:c r="L212" s="214"/>
      <x:c r="M212" s="214"/>
      <x:c r="N212" s="214"/>
      <x:c r="O212" s="214"/>
      <x:c r="P212" s="214"/>
      <x:c r="Q212" s="214"/>
      <x:c r="R212" s="214"/>
      <x:c r="S212" s="214"/>
      <x:c r="T212" s="214"/>
    </x:row>
    <x:row r="213">
      <x:c r="A213" s="214"/>
      <x:c r="B213" s="214"/>
      <x:c r="C213" s="214"/>
      <x:c r="D213" s="214"/>
      <x:c r="E213" s="214"/>
      <x:c r="F213" s="214"/>
      <x:c r="G213" s="214"/>
      <x:c r="H213" s="214"/>
      <x:c r="I213" s="214"/>
      <x:c r="J213" s="214"/>
      <x:c r="K213" s="214"/>
      <x:c r="L213" s="214"/>
      <x:c r="M213" s="214"/>
      <x:c r="N213" s="214"/>
      <x:c r="O213" s="214"/>
      <x:c r="P213" s="214"/>
      <x:c r="Q213" s="214"/>
      <x:c r="R213" s="214"/>
      <x:c r="S213" s="214"/>
      <x:c r="T213" s="214"/>
    </x:row>
    <x:row r="214">
      <x:c r="A214" s="214"/>
      <x:c r="B214" s="214"/>
      <x:c r="C214" s="214"/>
      <x:c r="D214" s="214"/>
      <x:c r="E214" s="214"/>
      <x:c r="F214" s="214"/>
      <x:c r="G214" s="214"/>
      <x:c r="H214" s="214"/>
      <x:c r="I214" s="214"/>
      <x:c r="J214" s="214"/>
      <x:c r="K214" s="214"/>
      <x:c r="L214" s="214"/>
      <x:c r="M214" s="214"/>
      <x:c r="N214" s="214"/>
      <x:c r="O214" s="214"/>
      <x:c r="P214" s="214"/>
      <x:c r="Q214" s="214"/>
      <x:c r="R214" s="214"/>
      <x:c r="S214" s="214"/>
      <x:c r="T214" s="214"/>
    </x:row>
    <x:row r="215">
      <x:c r="A215" s="214"/>
      <x:c r="B215" s="214"/>
      <x:c r="C215" s="214"/>
      <x:c r="D215" s="214"/>
      <x:c r="E215" s="214"/>
      <x:c r="F215" s="214"/>
      <x:c r="G215" s="214"/>
      <x:c r="H215" s="214"/>
      <x:c r="I215" s="214"/>
      <x:c r="J215" s="214"/>
      <x:c r="K215" s="214"/>
      <x:c r="L215" s="214"/>
      <x:c r="M215" s="214"/>
      <x:c r="N215" s="214"/>
      <x:c r="O215" s="214"/>
      <x:c r="P215" s="214"/>
      <x:c r="Q215" s="214"/>
      <x:c r="R215" s="214"/>
      <x:c r="S215" s="214"/>
      <x:c r="T215" s="214"/>
    </x:row>
    <x:row r="216">
      <x:c r="A216" s="214"/>
      <x:c r="B216" s="214"/>
      <x:c r="C216" s="214"/>
      <x:c r="D216" s="214"/>
      <x:c r="E216" s="214"/>
      <x:c r="F216" s="214"/>
      <x:c r="G216" s="214"/>
      <x:c r="H216" s="214"/>
      <x:c r="I216" s="214"/>
      <x:c r="J216" s="214"/>
      <x:c r="K216" s="214"/>
      <x:c r="L216" s="214"/>
      <x:c r="M216" s="214"/>
      <x:c r="N216" s="214"/>
      <x:c r="O216" s="214"/>
      <x:c r="P216" s="214"/>
      <x:c r="Q216" s="214"/>
      <x:c r="R216" s="214"/>
      <x:c r="S216" s="214"/>
      <x:c r="T216" s="214"/>
    </x:row>
    <x:row r="217">
      <x:c r="A217" s="214"/>
      <x:c r="B217" s="214"/>
      <x:c r="C217" s="214"/>
      <x:c r="D217" s="214"/>
      <x:c r="E217" s="214"/>
      <x:c r="F217" s="214"/>
      <x:c r="G217" s="214"/>
      <x:c r="H217" s="214"/>
      <x:c r="I217" s="214"/>
      <x:c r="J217" s="214"/>
      <x:c r="K217" s="214"/>
      <x:c r="L217" s="214"/>
      <x:c r="M217" s="214"/>
      <x:c r="N217" s="214"/>
      <x:c r="O217" s="214"/>
      <x:c r="P217" s="214"/>
      <x:c r="Q217" s="214"/>
      <x:c r="R217" s="214"/>
      <x:c r="S217" s="214"/>
      <x:c r="T217" s="214"/>
    </x:row>
    <x:row r="218">
      <x:c r="A218" s="214"/>
      <x:c r="B218" s="214"/>
      <x:c r="C218" s="214"/>
      <x:c r="D218" s="214"/>
      <x:c r="E218" s="214"/>
      <x:c r="F218" s="214"/>
      <x:c r="G218" s="214"/>
      <x:c r="H218" s="214"/>
      <x:c r="I218" s="214"/>
      <x:c r="J218" s="214"/>
      <x:c r="K218" s="214"/>
      <x:c r="L218" s="214"/>
      <x:c r="M218" s="214"/>
      <x:c r="N218" s="214"/>
      <x:c r="O218" s="214"/>
      <x:c r="P218" s="214"/>
      <x:c r="Q218" s="214"/>
      <x:c r="R218" s="214"/>
      <x:c r="S218" s="214"/>
      <x:c r="T218" s="214"/>
    </x:row>
    <x:row r="219">
      <x:c r="A219" s="214"/>
      <x:c r="B219" s="214"/>
      <x:c r="C219" s="214"/>
      <x:c r="D219" s="214"/>
      <x:c r="E219" s="214"/>
      <x:c r="F219" s="214"/>
      <x:c r="G219" s="214"/>
      <x:c r="H219" s="214"/>
      <x:c r="I219" s="214"/>
      <x:c r="J219" s="214"/>
      <x:c r="K219" s="214"/>
      <x:c r="L219" s="214"/>
      <x:c r="M219" s="214"/>
      <x:c r="N219" s="214"/>
      <x:c r="O219" s="214"/>
      <x:c r="P219" s="214"/>
      <x:c r="Q219" s="214"/>
      <x:c r="R219" s="214"/>
      <x:c r="S219" s="214"/>
      <x:c r="T219" s="214"/>
    </x:row>
    <x:row r="220">
      <x:c r="A220" s="214"/>
      <x:c r="B220" s="214"/>
      <x:c r="C220" s="214"/>
      <x:c r="D220" s="214"/>
      <x:c r="E220" s="214"/>
      <x:c r="F220" s="214"/>
      <x:c r="G220" s="214"/>
      <x:c r="H220" s="214"/>
      <x:c r="I220" s="214"/>
      <x:c r="J220" s="214"/>
      <x:c r="K220" s="214"/>
      <x:c r="L220" s="214"/>
      <x:c r="M220" s="214"/>
      <x:c r="N220" s="214"/>
      <x:c r="O220" s="214"/>
      <x:c r="P220" s="214"/>
      <x:c r="Q220" s="214"/>
      <x:c r="R220" s="214"/>
      <x:c r="S220" s="214"/>
      <x:c r="T220" s="214"/>
    </x:row>
  </x:sheetData>
  <x:mergeCells>
    <x:mergeCell ref="A1:F2"/>
    <x:mergeCell ref="A5:F6"/>
    <x:mergeCell ref="A3:F4"/>
    <x:mergeCell ref="U3:X4"/>
    <x:mergeCell ref="U5:X6"/>
  </x:mergeCells>
  <x:conditionalFormatting sqref="C9:C51">
    <x:cfRule type="containsText" dxfId="3" priority="1" operator="containsText" text="Covered with conditions"/>
    <x:cfRule type="containsText" dxfId="4" priority="2" operator="containsText" text="Plan dependent"/>
    <x:cfRule type="containsText" dxfId="5" priority="3" operator="containsText" text="Excluded for this use"/>
    <x:cfRule type="containsText" dxfId="6" priority="4" operator="containsText" text="Local decision"/>
    <x:cfRule type="containsText" dxfId="7" priority="5" operator="containsText" text="Not established"/>
  </x:conditionalFormatting>
  <x:dataValidations count="2">
    <x:dataValidation type="list" sqref="C9">
      <x:formula1>$B$16:$B$27</x:formula1>
    </x:dataValidation>
    <x:dataValidation type="list" sqref="C9:C51">
      <x:formula1>"Covered with conditions,Plan dependent,Excluded for this use,Local decision,Not established"</x:formula1>
    </x:dataValidation>
  </x:dataValidations>
  <x:hyperlinks>
    <x:hyperlink xmlns:r="http://schemas.openxmlformats.org/officeDocument/2006/relationships" ref="R9" r:id="R23a3aaf92b9b4ae6"/>
    <x:hyperlink xmlns:r="http://schemas.openxmlformats.org/officeDocument/2006/relationships" ref="R10" r:id="R8afca3be7942474f"/>
    <x:hyperlink xmlns:r="http://schemas.openxmlformats.org/officeDocument/2006/relationships" ref="R11" r:id="Rceb1a3391b6b417e"/>
    <x:hyperlink xmlns:r="http://schemas.openxmlformats.org/officeDocument/2006/relationships" ref="R12" r:id="R9698005b85964489"/>
    <x:hyperlink xmlns:r="http://schemas.openxmlformats.org/officeDocument/2006/relationships" ref="R13" r:id="R13755b7780e24ebe"/>
    <x:hyperlink xmlns:r="http://schemas.openxmlformats.org/officeDocument/2006/relationships" ref="S13" r:id="Rb83856ddd48641a3"/>
    <x:hyperlink xmlns:r="http://schemas.openxmlformats.org/officeDocument/2006/relationships" ref="R14" r:id="Rabe818fe473e4a12"/>
    <x:hyperlink xmlns:r="http://schemas.openxmlformats.org/officeDocument/2006/relationships" ref="R15" r:id="Re87f1028a95e4026"/>
    <x:hyperlink xmlns:r="http://schemas.openxmlformats.org/officeDocument/2006/relationships" ref="R16" r:id="R6dc453b4cd544106"/>
    <x:hyperlink xmlns:r="http://schemas.openxmlformats.org/officeDocument/2006/relationships" ref="R17" r:id="Rbc2fff86d7ea410e"/>
    <x:hyperlink xmlns:r="http://schemas.openxmlformats.org/officeDocument/2006/relationships" ref="S17" r:id="R12471420786a4541"/>
    <x:hyperlink xmlns:r="http://schemas.openxmlformats.org/officeDocument/2006/relationships" ref="R18" r:id="R59a3556e13094cb9"/>
    <x:hyperlink xmlns:r="http://schemas.openxmlformats.org/officeDocument/2006/relationships" ref="S18" r:id="R9782f62b00994c53"/>
    <x:hyperlink xmlns:r="http://schemas.openxmlformats.org/officeDocument/2006/relationships" ref="R19" r:id="Rcb6bb3bd19594a34"/>
    <x:hyperlink xmlns:r="http://schemas.openxmlformats.org/officeDocument/2006/relationships" ref="S19" r:id="Rdc1e7f17d5914636"/>
    <x:hyperlink xmlns:r="http://schemas.openxmlformats.org/officeDocument/2006/relationships" ref="R20" r:id="Rdd8260395549405c"/>
    <x:hyperlink xmlns:r="http://schemas.openxmlformats.org/officeDocument/2006/relationships" ref="S20" r:id="R24ed485301eb4073"/>
    <x:hyperlink xmlns:r="http://schemas.openxmlformats.org/officeDocument/2006/relationships" ref="R21" r:id="R6301980d9ff64801"/>
    <x:hyperlink xmlns:r="http://schemas.openxmlformats.org/officeDocument/2006/relationships" ref="R22" r:id="R573d96bad2254e33"/>
    <x:hyperlink xmlns:r="http://schemas.openxmlformats.org/officeDocument/2006/relationships" ref="R23" r:id="R6122c95ca79f4137"/>
    <x:hyperlink xmlns:r="http://schemas.openxmlformats.org/officeDocument/2006/relationships" ref="R24" r:id="R9aa42e09d4a44ce2"/>
    <x:hyperlink xmlns:r="http://schemas.openxmlformats.org/officeDocument/2006/relationships" ref="R25" r:id="R4096b52e413040a4"/>
    <x:hyperlink xmlns:r="http://schemas.openxmlformats.org/officeDocument/2006/relationships" ref="R26" r:id="R48fff24d7d024a7c"/>
    <x:hyperlink xmlns:r="http://schemas.openxmlformats.org/officeDocument/2006/relationships" ref="R27" r:id="R397c16490a9e474a"/>
    <x:hyperlink xmlns:r="http://schemas.openxmlformats.org/officeDocument/2006/relationships" ref="R28" r:id="R60a155aa90504f0a"/>
    <x:hyperlink xmlns:r="http://schemas.openxmlformats.org/officeDocument/2006/relationships" ref="R29" r:id="R16ec750456874d38"/>
    <x:hyperlink xmlns:r="http://schemas.openxmlformats.org/officeDocument/2006/relationships" ref="R30" r:id="R18b96d98ad6546cf"/>
    <x:hyperlink xmlns:r="http://schemas.openxmlformats.org/officeDocument/2006/relationships" ref="R31" r:id="R721c89a8fa5048fb"/>
    <x:hyperlink xmlns:r="http://schemas.openxmlformats.org/officeDocument/2006/relationships" ref="R32" r:id="R61191306a00b4be0"/>
    <x:hyperlink xmlns:r="http://schemas.openxmlformats.org/officeDocument/2006/relationships" ref="R33" r:id="Rfae0da1fe2ee411f"/>
    <x:hyperlink xmlns:r="http://schemas.openxmlformats.org/officeDocument/2006/relationships" ref="R34" r:id="Rd8a56707381e4dab"/>
    <x:hyperlink xmlns:r="http://schemas.openxmlformats.org/officeDocument/2006/relationships" ref="R35" r:id="R064ddc6472264d05"/>
    <x:hyperlink xmlns:r="http://schemas.openxmlformats.org/officeDocument/2006/relationships" ref="R36" r:id="Re961ae02829a419f"/>
    <x:hyperlink xmlns:r="http://schemas.openxmlformats.org/officeDocument/2006/relationships" ref="R37" r:id="Ra05a50cdfd0e4504"/>
    <x:hyperlink xmlns:r="http://schemas.openxmlformats.org/officeDocument/2006/relationships" ref="R38" r:id="R5eaef95b2b194e1f"/>
    <x:hyperlink xmlns:r="http://schemas.openxmlformats.org/officeDocument/2006/relationships" ref="R39" r:id="Rddf356b8e45f495b"/>
    <x:hyperlink xmlns:r="http://schemas.openxmlformats.org/officeDocument/2006/relationships" ref="R40" r:id="Rcd6bc91723cb49b7"/>
    <x:hyperlink xmlns:r="http://schemas.openxmlformats.org/officeDocument/2006/relationships" ref="R41" r:id="Rbc8c570b2fc24241"/>
    <x:hyperlink xmlns:r="http://schemas.openxmlformats.org/officeDocument/2006/relationships" ref="R42" r:id="Rbe87b2dd25be413b"/>
    <x:hyperlink xmlns:r="http://schemas.openxmlformats.org/officeDocument/2006/relationships" ref="R43" r:id="Rfc61ac8f08864ab6"/>
    <x:hyperlink xmlns:r="http://schemas.openxmlformats.org/officeDocument/2006/relationships" ref="R44" r:id="Rdf2a6376b17c4b08"/>
    <x:hyperlink xmlns:r="http://schemas.openxmlformats.org/officeDocument/2006/relationships" ref="R45" r:id="R02a9edd2a6d44cfd"/>
    <x:hyperlink xmlns:r="http://schemas.openxmlformats.org/officeDocument/2006/relationships" ref="R46" r:id="R394773667abd44f2"/>
    <x:hyperlink xmlns:r="http://schemas.openxmlformats.org/officeDocument/2006/relationships" ref="R47" r:id="Rbbc738e99f4148cf"/>
    <x:hyperlink xmlns:r="http://schemas.openxmlformats.org/officeDocument/2006/relationships" ref="S47" r:id="R70edaaa14aed485e"/>
    <x:hyperlink xmlns:r="http://schemas.openxmlformats.org/officeDocument/2006/relationships" ref="R48" r:id="Rd2f9fb9db19e4dd1"/>
  </x:hyperlinks>
  <x:pageMargins left="0.7" right="0.7" top="0.75" bottom="0.75" header="0.3" footer="0.3"/>
  <x:tableParts count="1">
    <x:tablePart xmlns:r="http://schemas.openxmlformats.org/officeDocument/2006/relationships" r:id="Rb868bb1afc0c49eb"/>
  </x:tableParts>
</x:worksheet>
</file>

<file path=xl/worksheets/sheet3.xml><?xml version="1.0" encoding="utf-8"?>
<x:worksheet xmlns:x="http://schemas.openxmlformats.org/spreadsheetml/2006/main">
  <x:sheetPr>
    <x:tabColor rgb="FF00A3B5"/>
  </x:sheetPr>
  <x:sheetViews>
    <x:sheetView showGridLines="0" workbookViewId="0"/>
  </x:sheetViews>
  <x:sheetFormatPr baseColWidth="10" defaultColWidth="8.83203125" defaultRowHeight="14"/>
  <x:cols>
    <x:col min="1" max="1" width="15" hidden="0" customWidth="1"/>
    <x:col min="2" max="4" width="14"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 max="2" width="15" hidden="0" customWidth="1"/>
    <x:col min="3" max="3" width="15" hidden="0" customWidth="1"/>
    <x:col min="4" max="4" width="15" hidden="0" customWidth="1"/>
    <x:col min="22" max="22" width="32.220001220703125" hidden="0" customWidth="1"/>
    <x:col min="23" max="23" width="18.329999923706055" hidden="0" customWidth="1"/>
    <x:col min="24" max="24" width="18.329999923706055" hidden="0" customWidth="1"/>
    <x:col min="25" max="25" width="18.329999923706055" hidden="0" customWidth="1"/>
    <x:col min="26" max="26" width="18.329999923706055" hidden="0" customWidth="1"/>
    <x:col min="27" max="27" width="18.329999923706055" hidden="0" customWidth="1"/>
    <x:col min="28" max="28" width="18.329999923706055" hidden="0" customWidth="1"/>
    <x:col min="30" max="30" width="34.439998626708984" hidden="0" customWidth="1"/>
    <x:col min="31" max="31" width="11.109999656677246" hidden="0" customWidth="1"/>
  </x:cols>
  <x:sheetData>
    <x:row r="1" ht="37.5" customHeight="1">
      <x:c r="A1" s="223" t="str">
        <x:v>Coverage classification</x:v>
      </x:c>
      <x:c r="B1" s="223" t="str">
        <x:v>Selected items</x:v>
      </x:c>
      <x:c r="C1" s="223"/>
      <x:c r="D1" s="223" t="str">
        <x:v>Formulation</x:v>
      </x:c>
      <x:c r="E1" s="223" t="str">
        <x:v>Listed share</x:v>
      </x:c>
      <x:c r="F1" s="223"/>
      <x:c r="G1" s="223" t="str">
        <x:v>Formulation</x:v>
      </x:c>
      <x:c r="H1" s="223" t="str">
        <x:v>All-options PA share</x:v>
      </x:c>
      <x:c r="I1" s="223"/>
      <x:c r="J1" s="223" t="str">
        <x:v>Published pair</x:v>
      </x:c>
      <x:c r="K1" s="223" t="str">
        <x:v>Relative work RVU difference</x:v>
      </x:c>
      <x:c r="L1" s="223"/>
      <x:c r="M1" s="223" t="str">
        <x:v>Inventory measure</x:v>
      </x:c>
      <x:c r="N1" s="223" t="str">
        <x:v>Count</x:v>
      </x:c>
      <x:c r="O1" s="223"/>
      <x:c r="P1" s="223"/>
      <x:c r="Q1" s="223"/>
      <x:c r="R1" s="223"/>
      <x:c r="S1" s="223"/>
      <x:c r="T1" s="223"/>
      <x:c r="V1" s="2291" t="str">
        <x:v>Clinical basis</x:v>
      </x:c>
      <x:c r="W1" s="2291" t="str">
        <x:v>Covered with conditions</x:v>
      </x:c>
      <x:c r="X1" s="2291" t="str">
        <x:v>Plan dependent</x:v>
      </x:c>
      <x:c r="Y1" s="2291" t="str">
        <x:v>Excluded for this use</x:v>
      </x:c>
      <x:c r="Z1" s="2291" t="str">
        <x:v>Local decision</x:v>
      </x:c>
      <x:c r="AA1" s="2291" t="str">
        <x:v>Not established</x:v>
      </x:c>
      <x:c r="AB1" s="2291" t="str">
        <x:v>Total</x:v>
      </x:c>
      <x:c r="AD1" s="2378" t="str">
        <x:v>Analytic subject</x:v>
      </x:c>
      <x:c r="AE1" s="2378" t="str">
        <x:v>Records</x:v>
      </x:c>
    </x:row>
    <x:row r="2" ht="37.5" customHeight="1">
      <x:c r="A2" s="214" t="str">
        <x:v>Covered with conditions</x:v>
      </x:c>
      <x:c r="B2" s="214" t="n">
        <x:f>COUNTIF(CareInventory[Coverage status],A2)</x:f>
        <x:v>16</x:v>
      </x:c>
      <x:c r="C2" s="214"/>
      <x:c r="D2" s="214" t="str">
        <x:v>Vaginal cream</x:v>
      </x:c>
      <x:c r="E2" s="252" t="n">
        <x:f t="shared" ref="E2:E7" si="0">'Drug formularies'!D11</x:f>
        <x:v>1</x:v>
      </x:c>
      <x:c r="F2" s="214" t="str">
        <x:f t="shared" ref="F2:F9" si="1">IF(E2="Higher",IF(B2&gt;=C2,"Favorable",IF(B2&gt;=C2*0.95,"Watch","Unfavorable")),IF(B2&lt;=C2,"Favorable",IF(B2&lt;=C2*1.05,"Watch","Unfavorable")))</x:f>
        <x:v>Unfavorable</x:v>
      </x:c>
      <x:c r="G2" s="214" t="str">
        <x:v>Estradiol patch</x:v>
      </x:c>
      <x:c r="H2" s="252" t="n">
        <x:f>'Drug formularies'!F13</x:f>
        <x:v>0.050316809541557955</x:v>
      </x:c>
      <x:c r="I2" s="214"/>
      <x:c r="J2" s="214" t="str">
        <x:v>Sling placement</x:v>
      </x:c>
      <x:c r="K2" s="252" t="n">
        <x:f>'Procedure values'!I9</x:f>
        <x:v>0.10143702451394752</x:v>
      </x:c>
      <x:c r="L2" s="214"/>
      <x:c r="M2" s="214" t="str">
        <x:v>Care items</x:v>
      </x:c>
      <x:c r="N2" s="214" t="n">
        <x:f>COUNTA(CareInventory[Item ID])</x:f>
        <x:v>40</x:v>
      </x:c>
      <x:c r="O2" s="214"/>
      <x:c r="P2" s="214"/>
      <x:c r="Q2" s="214"/>
      <x:c r="R2" s="214"/>
      <x:c r="S2" s="214"/>
      <x:c r="T2" s="214"/>
      <x:c r="V2" s="1406" t="str">
        <x:v>Shared body systems / functions</x:v>
      </x:c>
      <x:c r="W2" s="1408" t="n">
        <x:f>COUNTIFS(CareInventory[Clinical basis],$V2,CareInventory[Coverage status],W$1)</x:f>
        <x:v>10</x:v>
      </x:c>
      <x:c r="X2" s="1408" t="n">
        <x:f>COUNTIFS(CareInventory[Clinical basis],$V2,CareInventory[Coverage status],X$1)</x:f>
        <x:v>0</x:v>
      </x:c>
      <x:c r="Y2" s="1408" t="n">
        <x:f>COUNTIFS(CareInventory[Clinical basis],$V2,CareInventory[Coverage status],Y$1)</x:f>
        <x:v>4</x:v>
      </x:c>
      <x:c r="Z2" s="1408" t="n">
        <x:f>COUNTIFS(CareInventory[Clinical basis],$V2,CareInventory[Coverage status],Z$1)</x:f>
        <x:v>2</x:v>
      </x:c>
      <x:c r="AA2" s="1408" t="n">
        <x:f>COUNTIFS(CareInventory[Clinical basis],$V2,CareInventory[Coverage status],AA$1)</x:f>
        <x:v>0</x:v>
      </x:c>
      <x:c r="AB2" s="1408" t="n">
        <x:f>SUM(W2:AA2)</x:f>
        <x:v>16</x:v>
      </x:c>
      <x:c r="AD2" s="379" t="str">
        <x:v>Patient care / access</x:v>
      </x:c>
      <x:c r="AE2" s="1728" t="n">
        <x:f>COUNTIF(ScientificLiterature[Analytic subject],AD2)</x:f>
        <x:v>22</x:v>
      </x:c>
    </x:row>
    <x:row r="3" ht="37.5" customHeight="1">
      <x:c r="A3" s="214" t="str">
        <x:v>Plan dependent</x:v>
      </x:c>
      <x:c r="B3" s="214" t="n">
        <x:f>COUNTIF(CareInventory[Coverage status],A3)</x:f>
        <x:v>7</x:v>
      </x:c>
      <x:c r="C3" s="214"/>
      <x:c r="D3" s="214" t="str">
        <x:v>Estradiol patch</x:v>
      </x:c>
      <x:c r="E3" s="252" t="n">
        <x:f t="shared" si="0">'Drug formularies'!D13</x:f>
        <x:v>0.9758137843244227</x:v>
      </x:c>
      <x:c r="F3" s="214">
        <x:f t="shared" si="1"/>
      </x:c>
      <x:c r="G3" s="214" t="str">
        <x:v>Testosterone gel</x:v>
      </x:c>
      <x:c r="H3" s="252" t="n">
        <x:f>'Drug formularies'!F17</x:f>
        <x:v>0.6177493138151876</x:v>
      </x:c>
      <x:c r="I3" s="214"/>
      <x:c r="J3" s="214" t="str">
        <x:v>Sling revision</x:v>
      </x:c>
      <x:c r="K3" s="252" t="n">
        <x:f>'Procedure values'!I10</x:f>
        <x:v>0.20975160993560268</x:v>
      </x:c>
      <x:c r="L3" s="214"/>
      <x:c r="M3" s="214" t="str">
        <x:v>Scientific records</x:v>
      </x:c>
      <x:c r="N3" s="214" t="n">
        <x:f>COUNTA(ScientificLiterature[Study ID])</x:f>
        <x:v>38</x:v>
      </x:c>
      <x:c r="O3" s="214"/>
      <x:c r="P3" s="214"/>
      <x:c r="Q3" s="214"/>
      <x:c r="R3" s="214"/>
      <x:c r="S3" s="214"/>
      <x:c r="T3" s="214"/>
      <x:c r="V3" s="1406" t="str">
        <x:v>Female reproductive anatomy</x:v>
      </x:c>
      <x:c r="W3" s="1408" t="n">
        <x:f>COUNTIFS(CareInventory[Clinical basis],$V3,CareInventory[Coverage status],W$1)</x:f>
        <x:v>2</x:v>
      </x:c>
      <x:c r="X3" s="1408" t="n">
        <x:f>COUNTIFS(CareInventory[Clinical basis],$V3,CareInventory[Coverage status],X$1)</x:f>
        <x:v>2</x:v>
      </x:c>
      <x:c r="Y3" s="1408" t="n">
        <x:f>COUNTIFS(CareInventory[Clinical basis],$V3,CareInventory[Coverage status],Y$1)</x:f>
        <x:v>0</x:v>
      </x:c>
      <x:c r="Z3" s="1408" t="n">
        <x:f>COUNTIFS(CareInventory[Clinical basis],$V3,CareInventory[Coverage status],Z$1)</x:f>
        <x:v>2</x:v>
      </x:c>
      <x:c r="AA3" s="1408" t="n">
        <x:f>COUNTIFS(CareInventory[Clinical basis],$V3,CareInventory[Coverage status],AA$1)</x:f>
        <x:v>0</x:v>
      </x:c>
      <x:c r="AB3" s="1408" t="n">
        <x:f>SUM(W3:AA3)</x:f>
        <x:v>6</x:v>
      </x:c>
      <x:c r="AD3" s="379" t="str">
        <x:v>Service / anatomy valuation or coverage</x:v>
      </x:c>
      <x:c r="AE3" s="1728" t="n">
        <x:f>COUNTIF(ScientificLiterature[Analytic subject],AD3)</x:f>
        <x:v>10</x:v>
      </x:c>
    </x:row>
    <x:row r="4" ht="37.5" customHeight="1">
      <x:c r="A4" s="214" t="str">
        <x:v>Excluded for this use</x:v>
      </x:c>
      <x:c r="B4" s="214" t="n">
        <x:f>COUNTIF(CareInventory[Coverage status],A4)</x:f>
        <x:v>7</x:v>
      </x:c>
      <x:c r="C4" s="214"/>
      <x:c r="D4" s="214" t="str">
        <x:v>Estradiol gel</x:v>
      </x:c>
      <x:c r="E4" s="252" t="n">
        <x:f t="shared" si="0">'Drug formularies'!D14</x:f>
        <x:v>0.25295508274231676</x:v>
      </x:c>
      <x:c r="F4" s="214">
        <x:f t="shared" si="1"/>
      </x:c>
      <x:c r="G4" s="214" t="str">
        <x:v>Veozah</x:v>
      </x:c>
      <x:c r="H4" s="252" t="n">
        <x:f>'Drug formularies'!F18</x:f>
        <x:v>0.9810924369747899</x:v>
      </x:c>
      <x:c r="I4" s="214"/>
      <x:c r="J4" s="214" t="str">
        <x:v>Genital lesion</x:v>
      </x:c>
      <x:c r="K4" s="252" t="n">
        <x:f>'Procedure values'!I11</x:f>
        <x:v>-0.18181818181818182</x:v>
      </x:c>
      <x:c r="L4" s="214"/>
      <x:c r="M4" s="214" t="str">
        <x:v>Items with linked studies</x:v>
      </x:c>
      <x:c r="N4" s="214" t="n">
        <x:f>COUNTA(CareInventory[Item ID])-COUNTBLANK(CareInventory[Study IDs])</x:f>
        <x:v>26</x:v>
      </x:c>
      <x:c r="O4" s="214"/>
      <x:c r="P4" s="214"/>
      <x:c r="Q4" s="214"/>
      <x:c r="R4" s="214"/>
      <x:c r="S4" s="214"/>
      <x:c r="T4" s="214"/>
      <x:c r="V4" s="1406" t="str">
        <x:v>Male reproductive anatomy</x:v>
      </x:c>
      <x:c r="W4" s="1408" t="n">
        <x:f>COUNTIFS(CareInventory[Clinical basis],$V4,CareInventory[Coverage status],W$1)</x:f>
        <x:v>1</x:v>
      </x:c>
      <x:c r="X4" s="1408" t="n">
        <x:f>COUNTIFS(CareInventory[Clinical basis],$V4,CareInventory[Coverage status],X$1)</x:f>
        <x:v>0</x:v>
      </x:c>
      <x:c r="Y4" s="1408" t="n">
        <x:f>COUNTIFS(CareInventory[Clinical basis],$V4,CareInventory[Coverage status],Y$1)</x:f>
        <x:v>1</x:v>
      </x:c>
      <x:c r="Z4" s="1408" t="n">
        <x:f>COUNTIFS(CareInventory[Clinical basis],$V4,CareInventory[Coverage status],Z$1)</x:f>
        <x:v>0</x:v>
      </x:c>
      <x:c r="AA4" s="1408" t="n">
        <x:f>COUNTIFS(CareInventory[Clinical basis],$V4,CareInventory[Coverage status],AA$1)</x:f>
        <x:v>0</x:v>
      </x:c>
      <x:c r="AB4" s="1408" t="n">
        <x:f>SUM(W4:AA4)</x:f>
        <x:v>2</x:v>
      </x:c>
      <x:c r="AD4" s="379" t="str">
        <x:v>Physician sex / gender</x:v>
      </x:c>
      <x:c r="AE4" s="1728" t="n">
        <x:f>COUNTIF(ScientificLiterature[Analytic subject],AD4)</x:f>
        <x:v>3</x:v>
      </x:c>
    </x:row>
    <x:row r="5" ht="37.5" customHeight="1">
      <x:c r="A5" s="214" t="str">
        <x:v>Local decision</x:v>
      </x:c>
      <x:c r="B5" s="214" t="n">
        <x:f>COUNTIF(CareInventory[Coverage status],A5)</x:f>
        <x:v>5</x:v>
      </x:c>
      <x:c r="C5" s="214"/>
      <x:c r="D5" s="214" t="str">
        <x:v>Veozah</x:v>
      </x:c>
      <x:c r="E5" s="252" t="n">
        <x:f t="shared" si="0">'Drug formularies'!D18</x:f>
        <x:v>0.43280596472085836</x:v>
      </x:c>
      <x:c r="F5" s="214">
        <x:f t="shared" si="1"/>
      </x:c>
      <x:c r="G5" s="214" t="str">
        <x:v>Osphena</x:v>
      </x:c>
      <x:c r="H5" s="252" t="n">
        <x:f>'Drug formularies'!F19</x:f>
        <x:v>0.8554522400676247</x:v>
      </x:c>
      <x:c r="I5" s="214"/>
      <x:c r="J5" s="214" t="str">
        <x:v>Genital excision</x:v>
      </x:c>
      <x:c r="K5" s="252" t="n">
        <x:f>'Procedure values'!I12</x:f>
        <x:v>-0.15889830508474567</x:v>
      </x:c>
      <x:c r="L5" s="214"/>
      <x:c r="M5" s="214" t="str">
        <x:v>Policy-only items</x:v>
      </x:c>
      <x:c r="N5" s="214" t="n">
        <x:f>COUNTBLANK(CareInventory[Study IDs])</x:f>
        <x:v>14</x:v>
      </x:c>
      <x:c r="O5" s="214"/>
      <x:c r="P5" s="214"/>
      <x:c r="Q5" s="214"/>
      <x:c r="R5" s="214"/>
      <x:c r="S5" s="214"/>
      <x:c r="T5" s="214"/>
      <x:c r="V5" s="1406" t="str">
        <x:v>Female reproductive physiology</x:v>
      </x:c>
      <x:c r="W5" s="1408" t="n">
        <x:f>COUNTIFS(CareInventory[Clinical basis],$V5,CareInventory[Coverage status],W$1)</x:f>
        <x:v>1</x:v>
      </x:c>
      <x:c r="X5" s="1408" t="n">
        <x:f>COUNTIFS(CareInventory[Clinical basis],$V5,CareInventory[Coverage status],X$1)</x:f>
        <x:v>5</x:v>
      </x:c>
      <x:c r="Y5" s="1408" t="n">
        <x:f>COUNTIFS(CareInventory[Clinical basis],$V5,CareInventory[Coverage status],Y$1)</x:f>
        <x:v>0</x:v>
      </x:c>
      <x:c r="Z5" s="1408" t="n">
        <x:f>COUNTIFS(CareInventory[Clinical basis],$V5,CareInventory[Coverage status],Z$1)</x:f>
        <x:v>0</x:v>
      </x:c>
      <x:c r="AA5" s="1408" t="n">
        <x:f>COUNTIFS(CareInventory[Clinical basis],$V5,CareInventory[Coverage status],AA$1)</x:f>
        <x:v>0</x:v>
      </x:c>
      <x:c r="AB5" s="1408" t="n">
        <x:f>SUM(W5:AA5)</x:f>
        <x:v>6</x:v>
      </x:c>
      <x:c r="AD5" s="379" t="str">
        <x:v>General patient sex / gender background</x:v>
      </x:c>
      <x:c r="AE5" s="1728" t="n">
        <x:f>COUNTIF(ScientificLiterature[Analytic subject],AD5)</x:f>
        <x:v>3</x:v>
      </x:c>
    </x:row>
    <x:row r="6" ht="37.5" customHeight="1">
      <x:c r="A6" s="214" t="str">
        <x:v>Not established</x:v>
      </x:c>
      <x:c r="B6" s="214" t="n">
        <x:f>COUNTIF(CareInventory[Coverage status],A6)</x:f>
        <x:v>5</x:v>
      </x:c>
      <x:c r="C6" s="214"/>
      <x:c r="D6" s="214" t="str">
        <x:v>Osphena</x:v>
      </x:c>
      <x:c r="E6" s="252" t="n">
        <x:f t="shared" si="0">'Drug formularies'!D19</x:f>
        <x:v>0.21513002364066194</x:v>
      </x:c>
      <x:c r="F6" s="214">
        <x:f t="shared" si="1"/>
      </x:c>
      <x:c r="G6" s="214" t="str">
        <x:v>Intrarosa</x:v>
      </x:c>
      <x:c r="H6" s="252" t="n">
        <x:f>'Drug formularies'!F20</x:f>
        <x:v>0.38461538461538464</x:v>
      </x:c>
      <x:c r="I6" s="214"/>
      <x:c r="J6" s="214" t="str">
        <x:v>Exenteration</x:v>
      </x:c>
      <x:c r="K6" s="252" t="n">
        <x:f>'Procedure values'!I13</x:f>
        <x:v>-0.13118503118503122</x:v>
      </x:c>
      <x:c r="L6" s="214"/>
      <x:c r="M6" s="214" t="str">
        <x:v>Local or unresolved</x:v>
      </x:c>
      <x:c r="N6" s="214" t="n">
        <x:f>B5+B6</x:f>
        <x:v>10</x:v>
      </x:c>
      <x:c r="O6" s="214"/>
      <x:c r="P6" s="214"/>
      <x:c r="Q6" s="214"/>
      <x:c r="R6" s="214"/>
      <x:c r="S6" s="214"/>
      <x:c r="T6" s="214"/>
      <x:c r="V6" s="1406" t="str">
        <x:v>Male reproductive physiology</x:v>
      </x:c>
      <x:c r="W6" s="1408" t="n">
        <x:f>COUNTIFS(CareInventory[Clinical basis],$V6,CareInventory[Coverage status],W$1)</x:f>
        <x:v>1</x:v>
      </x:c>
      <x:c r="X6" s="1408" t="n">
        <x:f>COUNTIFS(CareInventory[Clinical basis],$V6,CareInventory[Coverage status],X$1)</x:f>
        <x:v>0</x:v>
      </x:c>
      <x:c r="Y6" s="1408" t="n">
        <x:f>COUNTIFS(CareInventory[Clinical basis],$V6,CareInventory[Coverage status],Y$1)</x:f>
        <x:v>0</x:v>
      </x:c>
      <x:c r="Z6" s="1408" t="n">
        <x:f>COUNTIFS(CareInventory[Clinical basis],$V6,CareInventory[Coverage status],Z$1)</x:f>
        <x:v>0</x:v>
      </x:c>
      <x:c r="AA6" s="1408" t="n">
        <x:f>COUNTIFS(CareInventory[Clinical basis],$V6,CareInventory[Coverage status],AA$1)</x:f>
        <x:v>0</x:v>
      </x:c>
      <x:c r="AB6" s="1408" t="n">
        <x:f>SUM(W6:AA6)</x:f>
        <x:v>1</x:v>
      </x:c>
      <x:c r="AD6" s="379" t="str">
        <x:v>Total</x:v>
      </x:c>
      <x:c r="AE6" s="1728" t="n">
        <x:f>SUM(AE2:AE5)</x:f>
        <x:v>38</x:v>
      </x:c>
    </x:row>
    <x:row r="7" ht="37.5" customHeight="1">
      <x:c r="A7" s="214"/>
      <x:c r="B7" s="214"/>
      <x:c r="C7" s="214"/>
      <x:c r="D7" s="214" t="str">
        <x:v>Intrarosa</x:v>
      </x:c>
      <x:c r="E7" s="252" t="n">
        <x:f t="shared" si="0">'Drug formularies'!D20</x:f>
        <x:v>0.0070921985815602835</x:v>
      </x:c>
      <x:c r="F7" s="214">
        <x:f t="shared" si="1"/>
      </x:c>
      <x:c r="G7" s="214"/>
      <x:c r="H7" s="214"/>
      <x:c r="I7" s="214"/>
      <x:c r="J7" s="214"/>
      <x:c r="K7" s="214"/>
      <x:c r="L7" s="214"/>
      <x:c r="M7" s="214"/>
      <x:c r="N7" s="214"/>
      <x:c r="O7" s="214"/>
      <x:c r="P7" s="214"/>
      <x:c r="Q7" s="214"/>
      <x:c r="R7" s="214"/>
      <x:c r="S7" s="214"/>
      <x:c r="T7" s="214"/>
      <x:c r="V7" s="1406" t="str">
        <x:v>Mixed or site-dependent</x:v>
      </x:c>
      <x:c r="W7" s="1408" t="n">
        <x:f>COUNTIFS(CareInventory[Clinical basis],$V7,CareInventory[Coverage status],W$1)</x:f>
        <x:v>1</x:v>
      </x:c>
      <x:c r="X7" s="1408" t="n">
        <x:f>COUNTIFS(CareInventory[Clinical basis],$V7,CareInventory[Coverage status],X$1)</x:f>
        <x:v>0</x:v>
      </x:c>
      <x:c r="Y7" s="1408" t="n">
        <x:f>COUNTIFS(CareInventory[Clinical basis],$V7,CareInventory[Coverage status],Y$1)</x:f>
        <x:v>2</x:v>
      </x:c>
      <x:c r="Z7" s="1408" t="n">
        <x:f>COUNTIFS(CareInventory[Clinical basis],$V7,CareInventory[Coverage status],Z$1)</x:f>
        <x:v>1</x:v>
      </x:c>
      <x:c r="AA7" s="1408" t="n">
        <x:f>COUNTIFS(CareInventory[Clinical basis],$V7,CareInventory[Coverage status],AA$1)</x:f>
        <x:v>5</x:v>
      </x:c>
      <x:c r="AB7" s="1408" t="n">
        <x:f>SUM(W7:AA7)</x:f>
        <x:v>9</x:v>
      </x:c>
    </x:row>
    <x:row r="8" ht="37.5" customHeight="1">
      <x:c r="A8" s="214"/>
      <x:c r="B8" s="214"/>
      <x:c r="C8" s="214"/>
      <x:c r="D8" s="214"/>
      <x:c r="E8" s="214"/>
      <x:c r="F8" s="214">
        <x:f t="shared" si="1"/>
      </x:c>
      <x:c r="G8" s="214"/>
      <x:c r="H8" s="214"/>
      <x:c r="I8" s="214"/>
      <x:c r="J8" s="214"/>
      <x:c r="K8" s="214"/>
      <x:c r="L8" s="214"/>
      <x:c r="M8" s="214"/>
      <x:c r="N8" s="214"/>
      <x:c r="O8" s="214"/>
      <x:c r="P8" s="214"/>
      <x:c r="Q8" s="214"/>
      <x:c r="R8" s="214"/>
      <x:c r="S8" s="214"/>
      <x:c r="T8" s="214"/>
      <x:c r="V8" s="1406" t="str">
        <x:v>Total</x:v>
      </x:c>
      <x:c r="W8" s="1408" t="n">
        <x:f>SUM(W2:W7)</x:f>
        <x:v>16</x:v>
      </x:c>
      <x:c r="X8" s="1408" t="n">
        <x:f>SUM(X2:X7)</x:f>
        <x:v>7</x:v>
      </x:c>
      <x:c r="Y8" s="1408" t="n">
        <x:f>SUM(Y2:Y7)</x:f>
        <x:v>7</x:v>
      </x:c>
      <x:c r="Z8" s="1408" t="n">
        <x:f>SUM(Z2:Z7)</x:f>
        <x:v>5</x:v>
      </x:c>
      <x:c r="AA8" s="1408" t="n">
        <x:f>SUM(AA2:AA7)</x:f>
        <x:v>5</x:v>
      </x:c>
      <x:c r="AB8" s="1408" t="n">
        <x:f>SUM(AB2:AB7)</x:f>
        <x:v>40</x:v>
      </x:c>
    </x:row>
    <x:row r="9">
      <x:c r="A9" s="214"/>
      <x:c r="B9" s="214"/>
      <x:c r="C9" s="214"/>
      <x:c r="D9" s="214"/>
      <x:c r="E9" s="214"/>
      <x:c r="F9" s="214">
        <x:f t="shared" si="1"/>
      </x:c>
      <x:c r="G9" s="214"/>
      <x:c r="H9" s="214"/>
      <x:c r="I9" s="214"/>
      <x:c r="J9" s="214"/>
      <x:c r="K9" s="214"/>
      <x:c r="L9" s="214"/>
      <x:c r="M9" s="214"/>
      <x:c r="N9" s="214"/>
      <x:c r="O9" s="214"/>
      <x:c r="P9" s="214"/>
      <x:c r="Q9" s="214"/>
      <x:c r="R9" s="214"/>
      <x:c r="S9" s="214"/>
      <x:c r="T9" s="214"/>
    </x:row>
    <x:row r="10">
      <x:c r="A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B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C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D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E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F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G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H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I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J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K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L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M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N10"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O10" s="214"/>
      <x:c r="P10" s="214"/>
      <x:c r="Q10" s="214"/>
      <x:c r="R10" s="214"/>
      <x:c r="S10" s="214"/>
      <x:c r="T10" s="214"/>
    </x:row>
    <x:row r="11">
      <x:c r="A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B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C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D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E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F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G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H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I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J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K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L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M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N11"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O11" s="214"/>
      <x:c r="P11" s="214"/>
      <x:c r="Q11" s="214"/>
      <x:c r="R11" s="214"/>
      <x:c r="S11" s="214"/>
      <x:c r="T11" s="214"/>
    </x:row>
    <x:row r="12">
      <x:c r="A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B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C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D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E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F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G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H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I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J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K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L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M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N12" s="220" t="str">
        <x:v>Chart inputs link to research tables. Classification counts describe selected care items, not the frequency or prevalence of gender bias. Drug shares count plan segments equally; PA shares condition on listing. Procedure differences are illustrative and unadjusted.</x:v>
      </x:c>
      <x:c r="O12" s="214"/>
      <x:c r="P12" s="214"/>
      <x:c r="Q12" s="214"/>
      <x:c r="R12" s="214"/>
      <x:c r="S12" s="214"/>
      <x:c r="T12" s="214"/>
    </x:row>
    <x:row r="13">
      <x:c r="A13" s="214"/>
      <x:c r="B13" s="214"/>
      <x:c r="C13" s="214"/>
      <x:c r="D13" s="214"/>
      <x:c r="E13" s="214"/>
      <x:c r="F13" s="214"/>
      <x:c r="G13" s="214"/>
      <x:c r="H13" s="214"/>
      <x:c r="I13" s="214"/>
      <x:c r="J13" s="214"/>
      <x:c r="K13" s="214"/>
      <x:c r="L13" s="214"/>
      <x:c r="M13" s="214"/>
      <x:c r="N13" s="214"/>
      <x:c r="O13" s="214"/>
      <x:c r="P13" s="214"/>
      <x:c r="Q13" s="214"/>
      <x:c r="R13" s="214"/>
      <x:c r="S13" s="214"/>
      <x:c r="T13" s="214"/>
    </x:row>
    <x:row r="14">
      <x:c r="A14" s="214"/>
      <x:c r="B14" s="214"/>
      <x:c r="C14" s="214"/>
      <x:c r="D14" s="214"/>
      <x:c r="E14" s="214"/>
      <x:c r="F14" s="214"/>
      <x:c r="G14" s="214"/>
      <x:c r="H14" s="214"/>
      <x:c r="I14" s="214"/>
      <x:c r="J14" s="214"/>
      <x:c r="K14" s="214"/>
      <x:c r="L14" s="214"/>
      <x:c r="M14" s="214"/>
      <x:c r="N14" s="214"/>
      <x:c r="O14" s="214"/>
      <x:c r="P14" s="214"/>
      <x:c r="Q14" s="214"/>
      <x:c r="R14" s="214"/>
      <x:c r="S14" s="214"/>
      <x:c r="T14" s="214"/>
    </x:row>
    <x:row r="15">
      <x:c r="A15" s="214"/>
      <x:c r="B15" s="214"/>
      <x:c r="C15" s="214"/>
      <x:c r="D15" s="214"/>
      <x:c r="E15" s="214"/>
      <x:c r="F15" s="214"/>
      <x:c r="G15" s="214"/>
      <x:c r="H15" s="214"/>
      <x:c r="I15" s="214"/>
      <x:c r="J15" s="214"/>
      <x:c r="K15" s="214"/>
      <x:c r="L15" s="214"/>
      <x:c r="M15" s="214"/>
      <x:c r="N15" s="214"/>
      <x:c r="O15" s="214"/>
      <x:c r="P15" s="214"/>
      <x:c r="Q15" s="214"/>
      <x:c r="R15" s="214"/>
      <x:c r="S15" s="214"/>
      <x:c r="T15" s="214"/>
    </x:row>
    <x:row r="16">
      <x:c r="A16" s="214"/>
      <x:c r="B16" s="214"/>
      <x:c r="C16" s="214"/>
      <x:c r="D16" s="214"/>
      <x:c r="E16" s="214"/>
      <x:c r="F16" s="214"/>
      <x:c r="G16" s="214"/>
      <x:c r="H16" s="214"/>
      <x:c r="I16" s="214"/>
      <x:c r="J16" s="214"/>
      <x:c r="K16" s="214"/>
      <x:c r="L16" s="214"/>
      <x:c r="M16" s="214"/>
      <x:c r="N16" s="214"/>
      <x:c r="O16" s="214"/>
      <x:c r="P16" s="214"/>
      <x:c r="Q16" s="214"/>
      <x:c r="R16" s="214"/>
      <x:c r="S16" s="214"/>
      <x:c r="T16" s="214"/>
    </x:row>
    <x:row r="17">
      <x:c r="A17" s="214"/>
      <x:c r="B17" s="214"/>
      <x:c r="C17" s="214"/>
      <x:c r="D17" s="214"/>
      <x:c r="E17" s="214"/>
      <x:c r="F17" s="214"/>
      <x:c r="G17" s="214"/>
      <x:c r="H17" s="214"/>
      <x:c r="I17" s="214"/>
      <x:c r="J17" s="214"/>
      <x:c r="K17" s="214"/>
      <x:c r="L17" s="214"/>
      <x:c r="M17" s="214"/>
      <x:c r="N17" s="214"/>
      <x:c r="O17" s="214"/>
      <x:c r="P17" s="214"/>
      <x:c r="Q17" s="214"/>
      <x:c r="R17" s="214"/>
      <x:c r="S17" s="214"/>
      <x:c r="T17" s="214"/>
    </x:row>
    <x:row r="18">
      <x:c r="A18" s="214"/>
      <x:c r="B18" s="214"/>
      <x:c r="C18" s="214"/>
      <x:c r="D18" s="214"/>
      <x:c r="E18" s="214"/>
      <x:c r="F18" s="214"/>
      <x:c r="G18" s="214"/>
      <x:c r="H18" s="214"/>
      <x:c r="I18" s="214"/>
      <x:c r="J18" s="214"/>
      <x:c r="K18" s="214"/>
      <x:c r="L18" s="214"/>
      <x:c r="M18" s="214"/>
      <x:c r="N18" s="214"/>
      <x:c r="O18" s="214"/>
      <x:c r="P18" s="214"/>
      <x:c r="Q18" s="214"/>
      <x:c r="R18" s="214"/>
      <x:c r="S18" s="214"/>
      <x:c r="T18" s="214"/>
    </x:row>
    <x:row r="19">
      <x:c r="A19" s="214"/>
      <x:c r="B19" s="214"/>
      <x:c r="C19" s="214"/>
      <x:c r="D19" s="214"/>
      <x:c r="E19" s="214"/>
      <x:c r="F19" s="214"/>
      <x:c r="G19" s="214"/>
      <x:c r="H19" s="214"/>
      <x:c r="I19" s="214"/>
      <x:c r="J19" s="214"/>
      <x:c r="K19" s="214"/>
      <x:c r="L19" s="214"/>
      <x:c r="M19" s="214"/>
      <x:c r="N19" s="214"/>
      <x:c r="O19" s="214"/>
      <x:c r="P19" s="214"/>
      <x:c r="Q19" s="214"/>
      <x:c r="R19" s="214"/>
      <x:c r="S19" s="214"/>
      <x:c r="T19" s="214"/>
    </x:row>
    <x:row r="20">
      <x:c r="A20" s="214"/>
      <x:c r="B20" s="214"/>
      <x:c r="C20" s="214"/>
      <x:c r="D20" s="214"/>
      <x:c r="E20" s="214"/>
      <x:c r="F20" s="214"/>
      <x:c r="G20" s="214"/>
      <x:c r="H20" s="214"/>
      <x:c r="I20" s="214"/>
      <x:c r="J20" s="214"/>
      <x:c r="K20" s="214"/>
      <x:c r="L20" s="214"/>
      <x:c r="M20" s="214"/>
      <x:c r="N20" s="214"/>
      <x:c r="O20" s="214"/>
      <x:c r="P20" s="214"/>
      <x:c r="Q20" s="214"/>
      <x:c r="R20" s="214"/>
      <x:c r="S20" s="214"/>
      <x:c r="T20" s="214"/>
    </x:row>
    <x:row r="21">
      <x:c r="A21" s="214"/>
      <x:c r="B21" s="214"/>
      <x:c r="C21" s="214"/>
      <x:c r="D21" s="214"/>
      <x:c r="E21" s="214"/>
      <x:c r="F21" s="214"/>
      <x:c r="G21" s="214"/>
      <x:c r="H21" s="214"/>
      <x:c r="I21" s="214"/>
      <x:c r="J21" s="214"/>
      <x:c r="K21" s="214"/>
      <x:c r="L21" s="214"/>
      <x:c r="M21" s="214"/>
      <x:c r="N21" s="214"/>
      <x:c r="O21" s="214"/>
      <x:c r="P21" s="214"/>
      <x:c r="Q21" s="214"/>
      <x:c r="R21" s="214"/>
      <x:c r="S21" s="214"/>
      <x:c r="T21" s="214"/>
    </x:row>
    <x:row r="22">
      <x:c r="A22" s="214"/>
      <x:c r="B22" s="214"/>
      <x:c r="C22" s="214"/>
      <x:c r="D22" s="214"/>
      <x:c r="E22" s="214"/>
      <x:c r="F22" s="214"/>
      <x:c r="G22" s="214"/>
      <x:c r="H22" s="214"/>
      <x:c r="I22" s="214"/>
      <x:c r="J22" s="214"/>
      <x:c r="K22" s="214"/>
      <x:c r="L22" s="214"/>
      <x:c r="M22" s="214"/>
      <x:c r="N22" s="214"/>
      <x:c r="O22" s="214"/>
      <x:c r="P22" s="214"/>
      <x:c r="Q22" s="214"/>
      <x:c r="R22" s="214"/>
      <x:c r="S22" s="214"/>
      <x:c r="T22" s="214"/>
    </x:row>
    <x:row r="23">
      <x:c r="A23" s="214"/>
      <x:c r="B23" s="214"/>
      <x:c r="C23" s="214"/>
      <x:c r="D23" s="214"/>
      <x:c r="E23" s="214"/>
      <x:c r="F23" s="214"/>
      <x:c r="G23" s="214"/>
      <x:c r="H23" s="214"/>
      <x:c r="I23" s="214"/>
      <x:c r="J23" s="214"/>
      <x:c r="K23" s="214"/>
      <x:c r="L23" s="214"/>
      <x:c r="M23" s="214"/>
      <x:c r="N23" s="214"/>
      <x:c r="O23" s="214"/>
      <x:c r="P23" s="214"/>
      <x:c r="Q23" s="214"/>
      <x:c r="R23" s="214"/>
      <x:c r="S23" s="214"/>
      <x:c r="T23" s="214"/>
    </x:row>
    <x:row r="24">
      <x:c r="A24" s="214"/>
      <x:c r="B24" s="214"/>
      <x:c r="C24" s="214"/>
      <x:c r="D24" s="214"/>
      <x:c r="E24" s="214"/>
      <x:c r="F24" s="214"/>
      <x:c r="G24" s="214"/>
      <x:c r="H24" s="214"/>
      <x:c r="I24" s="214"/>
      <x:c r="J24" s="214"/>
      <x:c r="K24" s="214"/>
      <x:c r="L24" s="214"/>
      <x:c r="M24" s="214"/>
      <x:c r="N24" s="214"/>
      <x:c r="O24" s="214"/>
      <x:c r="P24" s="214"/>
      <x:c r="Q24" s="214"/>
      <x:c r="R24" s="214"/>
      <x:c r="S24" s="214"/>
      <x:c r="T24" s="214"/>
    </x:row>
    <x:row r="25">
      <x:c r="A25" s="214"/>
      <x:c r="B25" s="214"/>
      <x:c r="C25" s="214"/>
      <x:c r="D25" s="214"/>
      <x:c r="E25" s="214"/>
      <x:c r="F25" s="214"/>
      <x:c r="G25" s="214"/>
      <x:c r="H25" s="214"/>
      <x:c r="I25" s="214"/>
      <x:c r="J25" s="214"/>
      <x:c r="K25" s="214"/>
      <x:c r="L25" s="214"/>
      <x:c r="M25" s="214"/>
      <x:c r="N25" s="214"/>
      <x:c r="O25" s="214"/>
      <x:c r="P25" s="214"/>
      <x:c r="Q25" s="214"/>
      <x:c r="R25" s="214"/>
      <x:c r="S25" s="214"/>
      <x:c r="T25" s="214"/>
    </x:row>
    <x:row r="26">
      <x:c r="A26" s="214"/>
      <x:c r="B26" s="214"/>
      <x:c r="C26" s="214"/>
      <x:c r="D26" s="214"/>
      <x:c r="E26" s="214"/>
      <x:c r="F26" s="214"/>
      <x:c r="G26" s="214"/>
      <x:c r="H26" s="214"/>
      <x:c r="I26" s="214"/>
      <x:c r="J26" s="214"/>
      <x:c r="K26" s="214"/>
      <x:c r="L26" s="214"/>
      <x:c r="M26" s="214"/>
      <x:c r="N26" s="214"/>
      <x:c r="O26" s="214"/>
      <x:c r="P26" s="214"/>
      <x:c r="Q26" s="214"/>
      <x:c r="R26" s="214"/>
      <x:c r="S26" s="214"/>
      <x:c r="T26" s="214"/>
    </x:row>
    <x:row r="27">
      <x:c r="A27" s="214"/>
      <x:c r="B27" s="214"/>
      <x:c r="C27" s="214"/>
      <x:c r="D27" s="214"/>
      <x:c r="E27" s="214"/>
      <x:c r="F27" s="214"/>
      <x:c r="G27" s="214"/>
      <x:c r="H27" s="214"/>
      <x:c r="I27" s="214"/>
      <x:c r="J27" s="214"/>
      <x:c r="K27" s="214"/>
      <x:c r="L27" s="214"/>
      <x:c r="M27" s="214"/>
      <x:c r="N27" s="214"/>
      <x:c r="O27" s="214"/>
      <x:c r="P27" s="214"/>
      <x:c r="Q27" s="214"/>
      <x:c r="R27" s="214"/>
      <x:c r="S27" s="214"/>
      <x:c r="T27" s="214"/>
    </x:row>
    <x:row r="28">
      <x:c r="A28" s="214"/>
      <x:c r="B28" s="214"/>
      <x:c r="C28" s="214"/>
      <x:c r="D28" s="214"/>
      <x:c r="E28" s="214"/>
      <x:c r="F28" s="214"/>
      <x:c r="G28" s="214"/>
      <x:c r="H28" s="214"/>
      <x:c r="I28" s="214"/>
      <x:c r="J28" s="214"/>
      <x:c r="K28" s="214"/>
      <x:c r="L28" s="214"/>
      <x:c r="M28" s="214"/>
      <x:c r="N28" s="214"/>
      <x:c r="O28" s="214"/>
      <x:c r="P28" s="214"/>
      <x:c r="Q28" s="214"/>
      <x:c r="R28" s="214"/>
      <x:c r="S28" s="214"/>
      <x:c r="T28" s="214"/>
    </x:row>
    <x:row r="29">
      <x:c r="A29" s="214"/>
      <x:c r="B29" s="214"/>
      <x:c r="C29" s="214"/>
      <x:c r="D29" s="214"/>
      <x:c r="E29" s="214"/>
      <x:c r="F29" s="214"/>
      <x:c r="G29" s="214"/>
      <x:c r="H29" s="214"/>
      <x:c r="I29" s="214"/>
      <x:c r="J29" s="214"/>
      <x:c r="K29" s="214"/>
      <x:c r="L29" s="214"/>
      <x:c r="M29" s="214"/>
      <x:c r="N29" s="214"/>
      <x:c r="O29" s="214"/>
      <x:c r="P29" s="214"/>
      <x:c r="Q29" s="214"/>
      <x:c r="R29" s="214"/>
      <x:c r="S29" s="214"/>
      <x:c r="T29" s="214"/>
    </x:row>
    <x:row r="30">
      <x:c r="A30" s="214"/>
      <x:c r="B30" s="214"/>
      <x:c r="C30" s="214"/>
      <x:c r="D30" s="214"/>
      <x:c r="E30" s="214"/>
      <x:c r="F30" s="214"/>
      <x:c r="G30" s="214"/>
      <x:c r="H30" s="214"/>
      <x:c r="I30" s="214"/>
      <x:c r="J30" s="214"/>
      <x:c r="K30" s="214"/>
      <x:c r="L30" s="214"/>
      <x:c r="M30" s="214"/>
      <x:c r="N30" s="214"/>
      <x:c r="O30" s="214"/>
      <x:c r="P30" s="214"/>
      <x:c r="Q30" s="214"/>
      <x:c r="R30" s="214"/>
      <x:c r="S30" s="214"/>
      <x:c r="T30" s="214"/>
    </x:row>
    <x:row r="31">
      <x:c r="A31" s="214"/>
      <x:c r="B31" s="214"/>
      <x:c r="C31" s="214"/>
      <x:c r="D31" s="214"/>
      <x:c r="E31" s="214"/>
      <x:c r="F31" s="214"/>
      <x:c r="G31" s="214"/>
      <x:c r="H31" s="214"/>
      <x:c r="I31" s="214"/>
      <x:c r="J31" s="214"/>
      <x:c r="K31" s="214"/>
      <x:c r="L31" s="214"/>
      <x:c r="M31" s="214"/>
      <x:c r="N31" s="214"/>
      <x:c r="O31" s="214"/>
      <x:c r="P31" s="214"/>
      <x:c r="Q31" s="214"/>
      <x:c r="R31" s="214"/>
      <x:c r="S31" s="214"/>
      <x:c r="T31" s="214"/>
    </x:row>
    <x:row r="32">
      <x:c r="A32" s="214"/>
      <x:c r="B32" s="214"/>
      <x:c r="C32" s="214"/>
      <x:c r="D32" s="214"/>
      <x:c r="E32" s="214"/>
      <x:c r="F32" s="214"/>
      <x:c r="G32" s="214"/>
      <x:c r="H32" s="214"/>
      <x:c r="I32" s="214"/>
      <x:c r="J32" s="214"/>
      <x:c r="K32" s="214"/>
      <x:c r="L32" s="214"/>
      <x:c r="M32" s="214"/>
      <x:c r="N32" s="214"/>
      <x:c r="O32" s="214"/>
      <x:c r="P32" s="214"/>
      <x:c r="Q32" s="214"/>
      <x:c r="R32" s="214"/>
      <x:c r="S32" s="214"/>
      <x:c r="T32" s="214"/>
    </x:row>
    <x:row r="33">
      <x:c r="A33" s="214"/>
      <x:c r="B33" s="214"/>
      <x:c r="C33" s="214"/>
      <x:c r="D33" s="214"/>
      <x:c r="E33" s="214"/>
      <x:c r="F33" s="214"/>
      <x:c r="G33" s="214"/>
      <x:c r="H33" s="214"/>
      <x:c r="I33" s="214"/>
      <x:c r="J33" s="214"/>
      <x:c r="K33" s="214"/>
      <x:c r="L33" s="214"/>
      <x:c r="M33" s="214"/>
      <x:c r="N33" s="214"/>
      <x:c r="O33" s="214"/>
      <x:c r="P33" s="214"/>
      <x:c r="Q33" s="214"/>
      <x:c r="R33" s="214"/>
      <x:c r="S33" s="214"/>
      <x:c r="T33" s="214"/>
    </x:row>
    <x:row r="34">
      <x:c r="A34" s="214"/>
      <x:c r="B34" s="214"/>
      <x:c r="C34" s="214"/>
      <x:c r="D34" s="214"/>
      <x:c r="E34" s="214"/>
      <x:c r="F34" s="214"/>
      <x:c r="G34" s="214"/>
      <x:c r="H34" s="214"/>
      <x:c r="I34" s="214"/>
      <x:c r="J34" s="214"/>
      <x:c r="K34" s="214"/>
      <x:c r="L34" s="214"/>
      <x:c r="M34" s="214"/>
      <x:c r="N34" s="214"/>
      <x:c r="O34" s="214"/>
      <x:c r="P34" s="214"/>
      <x:c r="Q34" s="214"/>
      <x:c r="R34" s="214"/>
      <x:c r="S34" s="214"/>
      <x:c r="T34" s="214"/>
    </x:row>
    <x:row r="35">
      <x:c r="A35" s="214"/>
      <x:c r="B35" s="214"/>
      <x:c r="C35" s="214"/>
      <x:c r="D35" s="214"/>
      <x:c r="E35" s="214"/>
      <x:c r="F35" s="214"/>
      <x:c r="G35" s="214"/>
      <x:c r="H35" s="214"/>
      <x:c r="I35" s="214"/>
      <x:c r="J35" s="214"/>
      <x:c r="K35" s="214"/>
      <x:c r="L35" s="214"/>
      <x:c r="M35" s="214"/>
      <x:c r="N35" s="214"/>
      <x:c r="O35" s="214"/>
      <x:c r="P35" s="214"/>
      <x:c r="Q35" s="214"/>
      <x:c r="R35" s="214"/>
      <x:c r="S35" s="214"/>
      <x:c r="T35" s="214"/>
    </x:row>
    <x:row r="36">
      <x:c r="A36" s="214"/>
      <x:c r="B36" s="214"/>
      <x:c r="C36" s="214"/>
      <x:c r="D36" s="214"/>
      <x:c r="E36" s="214"/>
      <x:c r="F36" s="214"/>
      <x:c r="G36" s="214"/>
      <x:c r="H36" s="214"/>
      <x:c r="I36" s="214"/>
      <x:c r="J36" s="214"/>
      <x:c r="K36" s="214"/>
      <x:c r="L36" s="214"/>
      <x:c r="M36" s="214"/>
      <x:c r="N36" s="214"/>
      <x:c r="O36" s="214"/>
      <x:c r="P36" s="214"/>
      <x:c r="Q36" s="214"/>
      <x:c r="R36" s="214"/>
      <x:c r="S36" s="214"/>
      <x:c r="T36" s="214"/>
    </x:row>
    <x:row r="37">
      <x:c r="A37" s="214"/>
      <x:c r="B37" s="214"/>
      <x:c r="C37" s="214"/>
      <x:c r="D37" s="214"/>
      <x:c r="E37" s="214"/>
      <x:c r="F37" s="214"/>
      <x:c r="G37" s="214"/>
      <x:c r="H37" s="214"/>
      <x:c r="I37" s="214"/>
      <x:c r="J37" s="214"/>
      <x:c r="K37" s="214"/>
      <x:c r="L37" s="214"/>
      <x:c r="M37" s="214"/>
      <x:c r="N37" s="214"/>
      <x:c r="O37" s="214"/>
      <x:c r="P37" s="214"/>
      <x:c r="Q37" s="214"/>
      <x:c r="R37" s="214"/>
      <x:c r="S37" s="214"/>
      <x:c r="T37" s="214"/>
    </x:row>
    <x:row r="38">
      <x:c r="A38" s="214"/>
      <x:c r="B38" s="214"/>
      <x:c r="C38" s="214"/>
      <x:c r="D38" s="214"/>
      <x:c r="E38" s="214"/>
      <x:c r="F38" s="214"/>
      <x:c r="G38" s="214"/>
      <x:c r="H38" s="214"/>
      <x:c r="I38" s="214"/>
      <x:c r="J38" s="214"/>
      <x:c r="K38" s="214"/>
      <x:c r="L38" s="214"/>
      <x:c r="M38" s="214"/>
      <x:c r="N38" s="214"/>
      <x:c r="O38" s="214"/>
      <x:c r="P38" s="214"/>
      <x:c r="Q38" s="214"/>
      <x:c r="R38" s="214"/>
      <x:c r="S38" s="214"/>
      <x:c r="T38" s="214"/>
    </x:row>
    <x:row r="39">
      <x:c r="A39" s="214"/>
      <x:c r="B39" s="214"/>
      <x:c r="C39" s="214"/>
      <x:c r="D39" s="214"/>
      <x:c r="E39" s="214"/>
      <x:c r="F39" s="214"/>
      <x:c r="G39" s="214"/>
      <x:c r="H39" s="214"/>
      <x:c r="I39" s="214"/>
      <x:c r="J39" s="214"/>
      <x:c r="K39" s="214"/>
      <x:c r="L39" s="214"/>
      <x:c r="M39" s="214"/>
      <x:c r="N39" s="214"/>
      <x:c r="O39" s="214"/>
      <x:c r="P39" s="214"/>
      <x:c r="Q39" s="214"/>
      <x:c r="R39" s="214"/>
      <x:c r="S39" s="214"/>
      <x:c r="T39" s="214"/>
    </x:row>
    <x:row r="40">
      <x:c r="A40" s="214"/>
      <x:c r="B40" s="214"/>
      <x:c r="C40" s="214"/>
      <x:c r="D40" s="214"/>
      <x:c r="E40" s="214"/>
      <x:c r="F40" s="214"/>
      <x:c r="G40" s="214"/>
      <x:c r="H40" s="214"/>
      <x:c r="I40" s="214"/>
      <x:c r="J40" s="214"/>
      <x:c r="K40" s="214"/>
      <x:c r="L40" s="214"/>
      <x:c r="M40" s="214"/>
      <x:c r="N40" s="214"/>
      <x:c r="O40" s="214"/>
      <x:c r="P40" s="214"/>
      <x:c r="Q40" s="214"/>
      <x:c r="R40" s="214"/>
      <x:c r="S40" s="214"/>
      <x:c r="T40" s="214"/>
    </x:row>
    <x:row r="41">
      <x:c r="A41" s="214"/>
      <x:c r="B41" s="214"/>
      <x:c r="C41" s="214"/>
      <x:c r="D41" s="214"/>
      <x:c r="E41" s="214"/>
      <x:c r="F41" s="214"/>
      <x:c r="G41" s="214"/>
      <x:c r="H41" s="214"/>
      <x:c r="I41" s="214"/>
      <x:c r="J41" s="214"/>
      <x:c r="K41" s="214"/>
      <x:c r="L41" s="214"/>
      <x:c r="M41" s="214"/>
      <x:c r="N41" s="214"/>
      <x:c r="O41" s="214"/>
      <x:c r="P41" s="214"/>
      <x:c r="Q41" s="214"/>
      <x:c r="R41" s="214"/>
      <x:c r="S41" s="214"/>
      <x:c r="T41" s="214"/>
    </x:row>
    <x:row r="42">
      <x:c r="A42" s="214"/>
      <x:c r="B42" s="214"/>
      <x:c r="C42" s="214"/>
      <x:c r="D42" s="214"/>
      <x:c r="E42" s="214"/>
      <x:c r="F42" s="214"/>
      <x:c r="G42" s="214"/>
      <x:c r="H42" s="214"/>
      <x:c r="I42" s="214"/>
      <x:c r="J42" s="214"/>
      <x:c r="K42" s="214"/>
      <x:c r="L42" s="214"/>
      <x:c r="M42" s="214"/>
      <x:c r="N42" s="214"/>
      <x:c r="O42" s="214"/>
      <x:c r="P42" s="214"/>
      <x:c r="Q42" s="214"/>
      <x:c r="R42" s="214"/>
      <x:c r="S42" s="214"/>
      <x:c r="T42" s="214"/>
    </x:row>
    <x:row r="43">
      <x:c r="A43" s="214"/>
      <x:c r="B43" s="214"/>
      <x:c r="C43" s="214"/>
      <x:c r="D43" s="214"/>
      <x:c r="E43" s="214"/>
      <x:c r="F43" s="214"/>
      <x:c r="G43" s="214"/>
      <x:c r="H43" s="214"/>
      <x:c r="I43" s="214"/>
      <x:c r="J43" s="214"/>
      <x:c r="K43" s="214"/>
      <x:c r="L43" s="214"/>
      <x:c r="M43" s="214"/>
      <x:c r="N43" s="214"/>
      <x:c r="O43" s="214"/>
      <x:c r="P43" s="214"/>
      <x:c r="Q43" s="214"/>
      <x:c r="R43" s="214"/>
      <x:c r="S43" s="214"/>
      <x:c r="T43" s="214"/>
    </x:row>
    <x:row r="44">
      <x:c r="A44" s="214"/>
      <x:c r="B44" s="214"/>
      <x:c r="C44" s="214"/>
      <x:c r="D44" s="214"/>
      <x:c r="E44" s="214"/>
      <x:c r="F44" s="214"/>
      <x:c r="G44" s="214"/>
      <x:c r="H44" s="214"/>
      <x:c r="I44" s="214"/>
      <x:c r="J44" s="214"/>
      <x:c r="K44" s="214"/>
      <x:c r="L44" s="214"/>
      <x:c r="M44" s="214"/>
      <x:c r="N44" s="214"/>
      <x:c r="O44" s="214"/>
      <x:c r="P44" s="214"/>
      <x:c r="Q44" s="214"/>
      <x:c r="R44" s="214"/>
      <x:c r="S44" s="214"/>
      <x:c r="T44" s="214"/>
    </x:row>
    <x:row r="45">
      <x:c r="A45" s="214"/>
      <x:c r="B45" s="214"/>
      <x:c r="C45" s="214"/>
      <x:c r="D45" s="214"/>
      <x:c r="E45" s="214"/>
      <x:c r="F45" s="214"/>
      <x:c r="G45" s="214"/>
      <x:c r="H45" s="214"/>
      <x:c r="I45" s="214"/>
      <x:c r="J45" s="214"/>
      <x:c r="K45" s="214"/>
      <x:c r="L45" s="214"/>
      <x:c r="M45" s="214"/>
      <x:c r="N45" s="214"/>
      <x:c r="O45" s="214"/>
      <x:c r="P45" s="214"/>
      <x:c r="Q45" s="214"/>
      <x:c r="R45" s="214"/>
      <x:c r="S45" s="214"/>
      <x:c r="T45" s="214"/>
    </x:row>
    <x:row r="46">
      <x:c r="A46" s="214"/>
      <x:c r="B46" s="214"/>
      <x:c r="C46" s="214"/>
      <x:c r="D46" s="214"/>
      <x:c r="E46" s="214"/>
      <x:c r="F46" s="214"/>
      <x:c r="G46" s="214"/>
      <x:c r="H46" s="214"/>
      <x:c r="I46" s="214"/>
      <x:c r="J46" s="214"/>
      <x:c r="K46" s="214"/>
      <x:c r="L46" s="214"/>
      <x:c r="M46" s="214"/>
      <x:c r="N46" s="214"/>
      <x:c r="O46" s="214"/>
      <x:c r="P46" s="214"/>
      <x:c r="Q46" s="214"/>
      <x:c r="R46" s="214"/>
      <x:c r="S46" s="214"/>
      <x:c r="T46" s="214"/>
    </x:row>
    <x:row r="47">
      <x:c r="A47" s="214"/>
      <x:c r="B47" s="214"/>
      <x:c r="C47" s="214"/>
      <x:c r="D47" s="214"/>
      <x:c r="E47" s="214"/>
      <x:c r="F47" s="214"/>
      <x:c r="G47" s="214"/>
      <x:c r="H47" s="214"/>
      <x:c r="I47" s="214"/>
      <x:c r="J47" s="214"/>
      <x:c r="K47" s="214"/>
      <x:c r="L47" s="214"/>
      <x:c r="M47" s="214"/>
      <x:c r="N47" s="214"/>
      <x:c r="O47" s="214"/>
      <x:c r="P47" s="214"/>
      <x:c r="Q47" s="214"/>
      <x:c r="R47" s="214"/>
      <x:c r="S47" s="214"/>
      <x:c r="T47" s="214"/>
    </x:row>
    <x:row r="48">
      <x:c r="A48" s="214"/>
      <x:c r="B48" s="214"/>
      <x:c r="C48" s="214"/>
      <x:c r="D48" s="214"/>
      <x:c r="E48" s="214"/>
      <x:c r="F48" s="214"/>
      <x:c r="G48" s="214"/>
      <x:c r="H48" s="214"/>
      <x:c r="I48" s="214"/>
      <x:c r="J48" s="214"/>
      <x:c r="K48" s="214"/>
      <x:c r="L48" s="214"/>
      <x:c r="M48" s="214"/>
      <x:c r="N48" s="214"/>
      <x:c r="O48" s="214"/>
      <x:c r="P48" s="214"/>
      <x:c r="Q48" s="214"/>
      <x:c r="R48" s="214"/>
      <x:c r="S48" s="214"/>
      <x:c r="T48" s="214"/>
    </x:row>
    <x:row r="49">
      <x:c r="A49" s="214"/>
      <x:c r="B49" s="214"/>
      <x:c r="C49" s="214"/>
      <x:c r="D49" s="214"/>
      <x:c r="E49" s="214"/>
      <x:c r="F49" s="214"/>
      <x:c r="G49" s="214"/>
      <x:c r="H49" s="214"/>
      <x:c r="I49" s="214"/>
      <x:c r="J49" s="214"/>
      <x:c r="K49" s="214"/>
      <x:c r="L49" s="214"/>
      <x:c r="M49" s="214"/>
      <x:c r="N49" s="214"/>
      <x:c r="O49" s="214"/>
      <x:c r="P49" s="214"/>
      <x:c r="Q49" s="214"/>
      <x:c r="R49" s="214"/>
      <x:c r="S49" s="214"/>
      <x:c r="T49" s="214"/>
    </x:row>
    <x:row r="50">
      <x:c r="A50" s="214"/>
      <x:c r="B50" s="214"/>
      <x:c r="C50" s="214"/>
      <x:c r="D50" s="214"/>
      <x:c r="E50" s="214"/>
      <x:c r="F50" s="214"/>
      <x:c r="G50" s="214"/>
      <x:c r="H50" s="214"/>
      <x:c r="I50" s="214"/>
      <x:c r="J50" s="214"/>
      <x:c r="K50" s="214"/>
      <x:c r="L50" s="214"/>
      <x:c r="M50" s="214"/>
      <x:c r="N50" s="214"/>
      <x:c r="O50" s="214"/>
      <x:c r="P50" s="214"/>
      <x:c r="Q50" s="214"/>
      <x:c r="R50" s="214"/>
      <x:c r="S50" s="214"/>
      <x:c r="T50" s="214"/>
    </x:row>
    <x:row r="51">
      <x:c r="A51" s="214"/>
      <x:c r="B51" s="214"/>
      <x:c r="C51" s="214"/>
      <x:c r="D51" s="214"/>
      <x:c r="E51" s="214"/>
      <x:c r="F51" s="214"/>
      <x:c r="G51" s="214"/>
      <x:c r="H51" s="214"/>
      <x:c r="I51" s="214"/>
      <x:c r="J51" s="214"/>
      <x:c r="K51" s="214"/>
      <x:c r="L51" s="214"/>
      <x:c r="M51" s="214"/>
      <x:c r="N51" s="214"/>
      <x:c r="O51" s="214"/>
      <x:c r="P51" s="214"/>
      <x:c r="Q51" s="214"/>
      <x:c r="R51" s="214"/>
      <x:c r="S51" s="214"/>
      <x:c r="T51" s="214"/>
    </x:row>
    <x:row r="52">
      <x:c r="A52" s="214"/>
      <x:c r="B52" s="214"/>
      <x:c r="C52" s="214"/>
      <x:c r="D52" s="214"/>
      <x:c r="E52" s="214"/>
      <x:c r="F52" s="214"/>
      <x:c r="G52" s="214"/>
      <x:c r="H52" s="214"/>
      <x:c r="I52" s="214"/>
      <x:c r="J52" s="214"/>
      <x:c r="K52" s="214"/>
      <x:c r="L52" s="214"/>
      <x:c r="M52" s="214"/>
      <x:c r="N52" s="214"/>
      <x:c r="O52" s="214"/>
      <x:c r="P52" s="214"/>
      <x:c r="Q52" s="214"/>
      <x:c r="R52" s="214"/>
      <x:c r="S52" s="214"/>
      <x:c r="T52" s="214"/>
    </x:row>
    <x:row r="53">
      <x:c r="A53" s="214"/>
      <x:c r="B53" s="214"/>
      <x:c r="C53" s="214"/>
      <x:c r="D53" s="214"/>
      <x:c r="E53" s="214"/>
      <x:c r="F53" s="214"/>
      <x:c r="G53" s="214"/>
      <x:c r="H53" s="214"/>
      <x:c r="I53" s="214"/>
      <x:c r="J53" s="214"/>
      <x:c r="K53" s="214"/>
      <x:c r="L53" s="214"/>
      <x:c r="M53" s="214"/>
      <x:c r="N53" s="214"/>
      <x:c r="O53" s="214"/>
      <x:c r="P53" s="214"/>
      <x:c r="Q53" s="214"/>
      <x:c r="R53" s="214"/>
      <x:c r="S53" s="214"/>
      <x:c r="T53" s="214"/>
    </x:row>
    <x:row r="54">
      <x:c r="A54" s="214"/>
      <x:c r="B54" s="214"/>
      <x:c r="C54" s="214"/>
      <x:c r="D54" s="214"/>
      <x:c r="E54" s="214"/>
      <x:c r="F54" s="214"/>
      <x:c r="G54" s="214"/>
      <x:c r="H54" s="214"/>
      <x:c r="I54" s="214"/>
      <x:c r="J54" s="214"/>
      <x:c r="K54" s="214"/>
      <x:c r="L54" s="214"/>
      <x:c r="M54" s="214"/>
      <x:c r="N54" s="214"/>
      <x:c r="O54" s="214"/>
      <x:c r="P54" s="214"/>
      <x:c r="Q54" s="214"/>
      <x:c r="R54" s="214"/>
      <x:c r="S54" s="214"/>
      <x:c r="T54" s="214"/>
    </x:row>
    <x:row r="55">
      <x:c r="A55" s="214"/>
      <x:c r="B55" s="214"/>
      <x:c r="C55" s="214"/>
      <x:c r="D55" s="214"/>
      <x:c r="E55" s="214"/>
      <x:c r="F55" s="214"/>
      <x:c r="G55" s="214"/>
      <x:c r="H55" s="214"/>
      <x:c r="I55" s="214"/>
      <x:c r="J55" s="214"/>
      <x:c r="K55" s="214"/>
      <x:c r="L55" s="214"/>
      <x:c r="M55" s="214"/>
      <x:c r="N55" s="214"/>
      <x:c r="O55" s="214"/>
      <x:c r="P55" s="214"/>
      <x:c r="Q55" s="214"/>
      <x:c r="R55" s="214"/>
      <x:c r="S55" s="214"/>
      <x:c r="T55" s="214"/>
    </x:row>
    <x:row r="56">
      <x:c r="A56" s="214"/>
      <x:c r="B56" s="214"/>
      <x:c r="C56" s="214"/>
      <x:c r="D56" s="214"/>
      <x:c r="E56" s="214"/>
      <x:c r="F56" s="214"/>
      <x:c r="G56" s="214"/>
      <x:c r="H56" s="214"/>
      <x:c r="I56" s="214"/>
      <x:c r="J56" s="214"/>
      <x:c r="K56" s="214"/>
      <x:c r="L56" s="214"/>
      <x:c r="M56" s="214"/>
      <x:c r="N56" s="214"/>
      <x:c r="O56" s="214"/>
      <x:c r="P56" s="214"/>
      <x:c r="Q56" s="214"/>
      <x:c r="R56" s="214"/>
      <x:c r="S56" s="214"/>
      <x:c r="T56" s="214"/>
    </x:row>
    <x:row r="57">
      <x:c r="A57" s="214"/>
      <x:c r="B57" s="214"/>
      <x:c r="C57" s="214"/>
      <x:c r="D57" s="214"/>
      <x:c r="E57" s="214"/>
      <x:c r="F57" s="214"/>
      <x:c r="G57" s="214"/>
      <x:c r="H57" s="214"/>
      <x:c r="I57" s="214"/>
      <x:c r="J57" s="214"/>
      <x:c r="K57" s="214"/>
      <x:c r="L57" s="214"/>
      <x:c r="M57" s="214"/>
      <x:c r="N57" s="214"/>
      <x:c r="O57" s="214"/>
      <x:c r="P57" s="214"/>
      <x:c r="Q57" s="214"/>
      <x:c r="R57" s="214"/>
      <x:c r="S57" s="214"/>
      <x:c r="T57" s="214"/>
    </x:row>
    <x:row r="58">
      <x:c r="A58" s="214"/>
      <x:c r="B58" s="214"/>
      <x:c r="C58" s="214"/>
      <x:c r="D58" s="214"/>
      <x:c r="E58" s="214"/>
      <x:c r="F58" s="214"/>
      <x:c r="G58" s="214"/>
      <x:c r="H58" s="214"/>
      <x:c r="I58" s="214"/>
      <x:c r="J58" s="214"/>
      <x:c r="K58" s="214"/>
      <x:c r="L58" s="214"/>
      <x:c r="M58" s="214"/>
      <x:c r="N58" s="214"/>
      <x:c r="O58" s="214"/>
      <x:c r="P58" s="214"/>
      <x:c r="Q58" s="214"/>
      <x:c r="R58" s="214"/>
      <x:c r="S58" s="214"/>
      <x:c r="T58" s="214"/>
    </x:row>
    <x:row r="59">
      <x:c r="A59" s="214"/>
      <x:c r="B59" s="214"/>
      <x:c r="C59" s="214"/>
      <x:c r="D59" s="214"/>
      <x:c r="E59" s="214"/>
      <x:c r="F59" s="214"/>
      <x:c r="G59" s="214"/>
      <x:c r="H59" s="214"/>
      <x:c r="I59" s="214"/>
      <x:c r="J59" s="214"/>
      <x:c r="K59" s="214"/>
      <x:c r="L59" s="214"/>
      <x:c r="M59" s="214"/>
      <x:c r="N59" s="214"/>
      <x:c r="O59" s="214"/>
      <x:c r="P59" s="214"/>
      <x:c r="Q59" s="214"/>
      <x:c r="R59" s="214"/>
      <x:c r="S59" s="214"/>
      <x:c r="T59" s="214"/>
    </x:row>
    <x:row r="60">
      <x:c r="A60" s="214"/>
      <x:c r="B60" s="214"/>
      <x:c r="C60" s="214"/>
      <x:c r="D60" s="214"/>
      <x:c r="E60" s="214"/>
      <x:c r="F60" s="214"/>
      <x:c r="G60" s="214"/>
      <x:c r="H60" s="214"/>
      <x:c r="I60" s="214"/>
      <x:c r="J60" s="214"/>
      <x:c r="K60" s="214"/>
      <x:c r="L60" s="214"/>
      <x:c r="M60" s="214"/>
      <x:c r="N60" s="214"/>
      <x:c r="O60" s="214"/>
      <x:c r="P60" s="214"/>
      <x:c r="Q60" s="214"/>
      <x:c r="R60" s="214"/>
      <x:c r="S60" s="214"/>
      <x:c r="T60" s="214"/>
    </x:row>
    <x:row r="61">
      <x:c r="A61" s="214"/>
      <x:c r="B61" s="214"/>
      <x:c r="C61" s="214"/>
      <x:c r="D61" s="214"/>
      <x:c r="E61" s="214"/>
      <x:c r="F61" s="214"/>
      <x:c r="G61" s="214"/>
      <x:c r="H61" s="214"/>
      <x:c r="I61" s="214"/>
      <x:c r="J61" s="214"/>
      <x:c r="K61" s="214"/>
      <x:c r="L61" s="214"/>
      <x:c r="M61" s="214"/>
      <x:c r="N61" s="214"/>
      <x:c r="O61" s="214"/>
      <x:c r="P61" s="214"/>
      <x:c r="Q61" s="214"/>
      <x:c r="R61" s="214"/>
      <x:c r="S61" s="214"/>
      <x:c r="T61" s="214"/>
    </x:row>
    <x:row r="62">
      <x:c r="A62" s="214"/>
      <x:c r="B62" s="214"/>
      <x:c r="C62" s="214"/>
      <x:c r="D62" s="214"/>
      <x:c r="E62" s="214"/>
      <x:c r="F62" s="214"/>
      <x:c r="G62" s="214"/>
      <x:c r="H62" s="214"/>
      <x:c r="I62" s="214"/>
      <x:c r="J62" s="214"/>
      <x:c r="K62" s="214"/>
      <x:c r="L62" s="214"/>
      <x:c r="M62" s="214"/>
      <x:c r="N62" s="214"/>
      <x:c r="O62" s="214"/>
      <x:c r="P62" s="214"/>
      <x:c r="Q62" s="214"/>
      <x:c r="R62" s="214"/>
      <x:c r="S62" s="214"/>
      <x:c r="T62" s="214"/>
    </x:row>
    <x:row r="63">
      <x:c r="A63" s="214"/>
      <x:c r="B63" s="214"/>
      <x:c r="C63" s="214"/>
      <x:c r="D63" s="214"/>
      <x:c r="E63" s="214"/>
      <x:c r="F63" s="214"/>
      <x:c r="G63" s="214"/>
      <x:c r="H63" s="214"/>
      <x:c r="I63" s="214"/>
      <x:c r="J63" s="214"/>
      <x:c r="K63" s="214"/>
      <x:c r="L63" s="214"/>
      <x:c r="M63" s="214"/>
      <x:c r="N63" s="214"/>
      <x:c r="O63" s="214"/>
      <x:c r="P63" s="214"/>
      <x:c r="Q63" s="214"/>
      <x:c r="R63" s="214"/>
      <x:c r="S63" s="214"/>
      <x:c r="T63" s="214"/>
    </x:row>
    <x:row r="64">
      <x:c r="A64" s="214"/>
      <x:c r="B64" s="214"/>
      <x:c r="C64" s="214"/>
      <x:c r="D64" s="214"/>
      <x:c r="E64" s="214"/>
      <x:c r="F64" s="214"/>
      <x:c r="G64" s="214"/>
      <x:c r="H64" s="214"/>
      <x:c r="I64" s="214"/>
      <x:c r="J64" s="214"/>
      <x:c r="K64" s="214"/>
      <x:c r="L64" s="214"/>
      <x:c r="M64" s="214"/>
      <x:c r="N64" s="214"/>
      <x:c r="O64" s="214"/>
      <x:c r="P64" s="214"/>
      <x:c r="Q64" s="214"/>
      <x:c r="R64" s="214"/>
      <x:c r="S64" s="214"/>
      <x:c r="T64" s="214"/>
    </x:row>
    <x:row r="65">
      <x:c r="A65" s="214"/>
      <x:c r="B65" s="214"/>
      <x:c r="C65" s="214"/>
      <x:c r="D65" s="214"/>
      <x:c r="E65" s="214"/>
      <x:c r="F65" s="214"/>
      <x:c r="G65" s="214"/>
      <x:c r="H65" s="214"/>
      <x:c r="I65" s="214"/>
      <x:c r="J65" s="214"/>
      <x:c r="K65" s="214"/>
      <x:c r="L65" s="214"/>
      <x:c r="M65" s="214"/>
      <x:c r="N65" s="214"/>
      <x:c r="O65" s="214"/>
      <x:c r="P65" s="214"/>
      <x:c r="Q65" s="214"/>
      <x:c r="R65" s="214"/>
      <x:c r="S65" s="214"/>
      <x:c r="T65" s="214"/>
    </x:row>
    <x:row r="66">
      <x:c r="A66" s="214"/>
      <x:c r="B66" s="214"/>
      <x:c r="C66" s="214"/>
      <x:c r="D66" s="214"/>
      <x:c r="E66" s="214"/>
      <x:c r="F66" s="214"/>
      <x:c r="G66" s="214"/>
      <x:c r="H66" s="214"/>
      <x:c r="I66" s="214"/>
      <x:c r="J66" s="214"/>
      <x:c r="K66" s="214"/>
      <x:c r="L66" s="214"/>
      <x:c r="M66" s="214"/>
      <x:c r="N66" s="214"/>
      <x:c r="O66" s="214"/>
      <x:c r="P66" s="214"/>
      <x:c r="Q66" s="214"/>
      <x:c r="R66" s="214"/>
      <x:c r="S66" s="214"/>
      <x:c r="T66" s="214"/>
    </x:row>
    <x:row r="67">
      <x:c r="A67" s="214"/>
      <x:c r="B67" s="214"/>
      <x:c r="C67" s="214"/>
      <x:c r="D67" s="214"/>
      <x:c r="E67" s="214"/>
      <x:c r="F67" s="214"/>
      <x:c r="G67" s="214"/>
      <x:c r="H67" s="214"/>
      <x:c r="I67" s="214"/>
      <x:c r="J67" s="214"/>
      <x:c r="K67" s="214"/>
      <x:c r="L67" s="214"/>
      <x:c r="M67" s="214"/>
      <x:c r="N67" s="214"/>
      <x:c r="O67" s="214"/>
      <x:c r="P67" s="214"/>
      <x:c r="Q67" s="214"/>
      <x:c r="R67" s="214"/>
      <x:c r="S67" s="214"/>
      <x:c r="T67" s="214"/>
    </x:row>
    <x:row r="68">
      <x:c r="A68" s="214"/>
      <x:c r="B68" s="214"/>
      <x:c r="C68" s="214"/>
      <x:c r="D68" s="214"/>
      <x:c r="E68" s="214"/>
      <x:c r="F68" s="214"/>
      <x:c r="G68" s="214"/>
      <x:c r="H68" s="214"/>
      <x:c r="I68" s="214"/>
      <x:c r="J68" s="214"/>
      <x:c r="K68" s="214"/>
      <x:c r="L68" s="214"/>
      <x:c r="M68" s="214"/>
      <x:c r="N68" s="214"/>
      <x:c r="O68" s="214"/>
      <x:c r="P68" s="214"/>
      <x:c r="Q68" s="214"/>
      <x:c r="R68" s="214"/>
      <x:c r="S68" s="214"/>
      <x:c r="T68" s="214"/>
    </x:row>
    <x:row r="69">
      <x:c r="A69" s="214"/>
      <x:c r="B69" s="214"/>
      <x:c r="C69" s="214"/>
      <x:c r="D69" s="214"/>
      <x:c r="E69" s="214"/>
      <x:c r="F69" s="214"/>
      <x:c r="G69" s="214"/>
      <x:c r="H69" s="214"/>
      <x:c r="I69" s="214"/>
      <x:c r="J69" s="214"/>
      <x:c r="K69" s="214"/>
      <x:c r="L69" s="214"/>
      <x:c r="M69" s="214"/>
      <x:c r="N69" s="214"/>
      <x:c r="O69" s="214"/>
      <x:c r="P69" s="214"/>
      <x:c r="Q69" s="214"/>
      <x:c r="R69" s="214"/>
      <x:c r="S69" s="214"/>
      <x:c r="T69" s="214"/>
    </x:row>
    <x:row r="70">
      <x:c r="A70" s="214"/>
      <x:c r="B70" s="214"/>
      <x:c r="C70" s="214"/>
      <x:c r="D70" s="214"/>
      <x:c r="E70" s="214"/>
      <x:c r="F70" s="214"/>
      <x:c r="G70" s="214"/>
      <x:c r="H70" s="214"/>
      <x:c r="I70" s="214"/>
      <x:c r="J70" s="214"/>
      <x:c r="K70" s="214"/>
      <x:c r="L70" s="214"/>
      <x:c r="M70" s="214"/>
      <x:c r="N70" s="214"/>
      <x:c r="O70" s="214"/>
      <x:c r="P70" s="214"/>
      <x:c r="Q70" s="214"/>
      <x:c r="R70" s="214"/>
      <x:c r="S70" s="214"/>
      <x:c r="T70" s="214"/>
    </x:row>
    <x:row r="71">
      <x:c r="A71" s="214"/>
      <x:c r="B71" s="214"/>
      <x:c r="C71" s="214"/>
      <x:c r="D71" s="214"/>
      <x:c r="E71" s="214"/>
      <x:c r="F71" s="214"/>
      <x:c r="G71" s="214"/>
      <x:c r="H71" s="214"/>
      <x:c r="I71" s="214"/>
      <x:c r="J71" s="214"/>
      <x:c r="K71" s="214"/>
      <x:c r="L71" s="214"/>
      <x:c r="M71" s="214"/>
      <x:c r="N71" s="214"/>
      <x:c r="O71" s="214"/>
      <x:c r="P71" s="214"/>
      <x:c r="Q71" s="214"/>
      <x:c r="R71" s="214"/>
      <x:c r="S71" s="214"/>
      <x:c r="T71" s="214"/>
    </x:row>
    <x:row r="72">
      <x:c r="A72" s="214"/>
      <x:c r="B72" s="214"/>
      <x:c r="C72" s="214"/>
      <x:c r="D72" s="214"/>
      <x:c r="E72" s="214"/>
      <x:c r="F72" s="214"/>
      <x:c r="G72" s="214"/>
      <x:c r="H72" s="214"/>
      <x:c r="I72" s="214"/>
      <x:c r="J72" s="214"/>
      <x:c r="K72" s="214"/>
      <x:c r="L72" s="214"/>
      <x:c r="M72" s="214"/>
      <x:c r="N72" s="214"/>
      <x:c r="O72" s="214"/>
      <x:c r="P72" s="214"/>
      <x:c r="Q72" s="214"/>
      <x:c r="R72" s="214"/>
      <x:c r="S72" s="214"/>
      <x:c r="T72" s="214"/>
    </x:row>
    <x:row r="73">
      <x:c r="A73" s="214"/>
      <x:c r="B73" s="214"/>
      <x:c r="C73" s="214"/>
      <x:c r="D73" s="214"/>
      <x:c r="E73" s="214"/>
      <x:c r="F73" s="214"/>
      <x:c r="G73" s="214"/>
      <x:c r="H73" s="214"/>
      <x:c r="I73" s="214"/>
      <x:c r="J73" s="214"/>
      <x:c r="K73" s="214"/>
      <x:c r="L73" s="214"/>
      <x:c r="M73" s="214"/>
      <x:c r="N73" s="214"/>
      <x:c r="O73" s="214"/>
      <x:c r="P73" s="214"/>
      <x:c r="Q73" s="214"/>
      <x:c r="R73" s="214"/>
      <x:c r="S73" s="214"/>
      <x:c r="T73" s="214"/>
    </x:row>
    <x:row r="74">
      <x:c r="A74" s="214"/>
      <x:c r="B74" s="214"/>
      <x:c r="C74" s="214"/>
      <x:c r="D74" s="214"/>
      <x:c r="E74" s="214"/>
      <x:c r="F74" s="214"/>
      <x:c r="G74" s="214"/>
      <x:c r="H74" s="214"/>
      <x:c r="I74" s="214"/>
      <x:c r="J74" s="214"/>
      <x:c r="K74" s="214"/>
      <x:c r="L74" s="214"/>
      <x:c r="M74" s="214"/>
      <x:c r="N74" s="214"/>
      <x:c r="O74" s="214"/>
      <x:c r="P74" s="214"/>
      <x:c r="Q74" s="214"/>
      <x:c r="R74" s="214"/>
      <x:c r="S74" s="214"/>
      <x:c r="T74" s="214"/>
    </x:row>
    <x:row r="75">
      <x:c r="A75" s="214"/>
      <x:c r="B75" s="214"/>
      <x:c r="C75" s="214"/>
      <x:c r="D75" s="214"/>
      <x:c r="E75" s="214"/>
      <x:c r="F75" s="214"/>
      <x:c r="G75" s="214"/>
      <x:c r="H75" s="214"/>
      <x:c r="I75" s="214"/>
      <x:c r="J75" s="214"/>
      <x:c r="K75" s="214"/>
      <x:c r="L75" s="214"/>
      <x:c r="M75" s="214"/>
      <x:c r="N75" s="214"/>
      <x:c r="O75" s="214"/>
      <x:c r="P75" s="214"/>
      <x:c r="Q75" s="214"/>
      <x:c r="R75" s="214"/>
      <x:c r="S75" s="214"/>
      <x:c r="T75" s="214"/>
    </x:row>
    <x:row r="76">
      <x:c r="A76" s="214"/>
      <x:c r="B76" s="214"/>
      <x:c r="C76" s="214"/>
      <x:c r="D76" s="214"/>
      <x:c r="E76" s="214"/>
      <x:c r="F76" s="214"/>
      <x:c r="G76" s="214"/>
      <x:c r="H76" s="214"/>
      <x:c r="I76" s="214"/>
      <x:c r="J76" s="214"/>
      <x:c r="K76" s="214"/>
      <x:c r="L76" s="214"/>
      <x:c r="M76" s="214"/>
      <x:c r="N76" s="214"/>
      <x:c r="O76" s="214"/>
      <x:c r="P76" s="214"/>
      <x:c r="Q76" s="214"/>
      <x:c r="R76" s="214"/>
      <x:c r="S76" s="214"/>
      <x:c r="T76" s="214"/>
    </x:row>
    <x:row r="77">
      <x:c r="A77" s="214"/>
      <x:c r="B77" s="214"/>
      <x:c r="C77" s="214"/>
      <x:c r="D77" s="214"/>
      <x:c r="E77" s="214"/>
      <x:c r="F77" s="214"/>
      <x:c r="G77" s="214"/>
      <x:c r="H77" s="214"/>
      <x:c r="I77" s="214"/>
      <x:c r="J77" s="214"/>
      <x:c r="K77" s="214"/>
      <x:c r="L77" s="214"/>
      <x:c r="M77" s="214"/>
      <x:c r="N77" s="214"/>
      <x:c r="O77" s="214"/>
      <x:c r="P77" s="214"/>
      <x:c r="Q77" s="214"/>
      <x:c r="R77" s="214"/>
      <x:c r="S77" s="214"/>
      <x:c r="T77" s="214"/>
    </x:row>
    <x:row r="78">
      <x:c r="A78" s="214"/>
      <x:c r="B78" s="214"/>
      <x:c r="C78" s="214"/>
      <x:c r="D78" s="214"/>
      <x:c r="E78" s="214"/>
      <x:c r="F78" s="214"/>
      <x:c r="G78" s="214"/>
      <x:c r="H78" s="214"/>
      <x:c r="I78" s="214"/>
      <x:c r="J78" s="214"/>
      <x:c r="K78" s="214"/>
      <x:c r="L78" s="214"/>
      <x:c r="M78" s="214"/>
      <x:c r="N78" s="214"/>
      <x:c r="O78" s="214"/>
      <x:c r="P78" s="214"/>
      <x:c r="Q78" s="214"/>
      <x:c r="R78" s="214"/>
      <x:c r="S78" s="214"/>
      <x:c r="T78" s="214"/>
    </x:row>
    <x:row r="79">
      <x:c r="A79" s="214"/>
      <x:c r="B79" s="214"/>
      <x:c r="C79" s="214"/>
      <x:c r="D79" s="214"/>
      <x:c r="E79" s="214"/>
      <x:c r="F79" s="214"/>
      <x:c r="G79" s="214"/>
      <x:c r="H79" s="214"/>
      <x:c r="I79" s="214"/>
      <x:c r="J79" s="214"/>
      <x:c r="K79" s="214"/>
      <x:c r="L79" s="214"/>
      <x:c r="M79" s="214"/>
      <x:c r="N79" s="214"/>
      <x:c r="O79" s="214"/>
      <x:c r="P79" s="214"/>
      <x:c r="Q79" s="214"/>
      <x:c r="R79" s="214"/>
      <x:c r="S79" s="214"/>
      <x:c r="T79" s="214"/>
    </x:row>
    <x:row r="80">
      <x:c r="A80" s="214"/>
      <x:c r="B80" s="214"/>
      <x:c r="C80" s="214"/>
      <x:c r="D80" s="214"/>
      <x:c r="E80" s="214"/>
      <x:c r="F80" s="214"/>
      <x:c r="G80" s="214"/>
      <x:c r="H80" s="214"/>
      <x:c r="I80" s="214"/>
      <x:c r="J80" s="214"/>
      <x:c r="K80" s="214"/>
      <x:c r="L80" s="214"/>
      <x:c r="M80" s="214"/>
      <x:c r="N80" s="214"/>
      <x:c r="O80" s="214"/>
      <x:c r="P80" s="214"/>
      <x:c r="Q80" s="214"/>
      <x:c r="R80" s="214"/>
      <x:c r="S80" s="214"/>
      <x:c r="T80" s="214"/>
    </x:row>
    <x:row r="81">
      <x:c r="A81" s="214"/>
      <x:c r="B81" s="214"/>
      <x:c r="C81" s="214"/>
      <x:c r="D81" s="214"/>
      <x:c r="E81" s="214"/>
      <x:c r="F81" s="214"/>
      <x:c r="G81" s="214"/>
      <x:c r="H81" s="214"/>
      <x:c r="I81" s="214"/>
      <x:c r="J81" s="214"/>
      <x:c r="K81" s="214"/>
      <x:c r="L81" s="214"/>
      <x:c r="M81" s="214"/>
      <x:c r="N81" s="214"/>
      <x:c r="O81" s="214"/>
      <x:c r="P81" s="214"/>
      <x:c r="Q81" s="214"/>
      <x:c r="R81" s="214"/>
      <x:c r="S81" s="214"/>
      <x:c r="T81" s="214"/>
    </x:row>
    <x:row r="82">
      <x:c r="A82" s="214"/>
      <x:c r="B82" s="214"/>
      <x:c r="C82" s="214"/>
      <x:c r="D82" s="214"/>
      <x:c r="E82" s="214"/>
      <x:c r="F82" s="214"/>
      <x:c r="G82" s="214"/>
      <x:c r="H82" s="214"/>
      <x:c r="I82" s="214"/>
      <x:c r="J82" s="214"/>
      <x:c r="K82" s="214"/>
      <x:c r="L82" s="214"/>
      <x:c r="M82" s="214"/>
      <x:c r="N82" s="214"/>
      <x:c r="O82" s="214"/>
      <x:c r="P82" s="214"/>
      <x:c r="Q82" s="214"/>
      <x:c r="R82" s="214"/>
      <x:c r="S82" s="214"/>
      <x:c r="T82" s="214"/>
    </x:row>
    <x:row r="83">
      <x:c r="A83" s="214"/>
      <x:c r="B83" s="214"/>
      <x:c r="C83" s="214"/>
      <x:c r="D83" s="214"/>
      <x:c r="E83" s="214"/>
      <x:c r="F83" s="214"/>
      <x:c r="G83" s="214"/>
      <x:c r="H83" s="214"/>
      <x:c r="I83" s="214"/>
      <x:c r="J83" s="214"/>
      <x:c r="K83" s="214"/>
      <x:c r="L83" s="214"/>
      <x:c r="M83" s="214"/>
      <x:c r="N83" s="214"/>
      <x:c r="O83" s="214"/>
      <x:c r="P83" s="214"/>
      <x:c r="Q83" s="214"/>
      <x:c r="R83" s="214"/>
      <x:c r="S83" s="214"/>
      <x:c r="T83" s="214"/>
    </x:row>
    <x:row r="84">
      <x:c r="A84" s="214"/>
      <x:c r="B84" s="214"/>
      <x:c r="C84" s="214"/>
      <x:c r="D84" s="214"/>
      <x:c r="E84" s="214"/>
      <x:c r="F84" s="214"/>
      <x:c r="G84" s="214"/>
      <x:c r="H84" s="214"/>
      <x:c r="I84" s="214"/>
      <x:c r="J84" s="214"/>
      <x:c r="K84" s="214"/>
      <x:c r="L84" s="214"/>
      <x:c r="M84" s="214"/>
      <x:c r="N84" s="214"/>
      <x:c r="O84" s="214"/>
      <x:c r="P84" s="214"/>
      <x:c r="Q84" s="214"/>
      <x:c r="R84" s="214"/>
      <x:c r="S84" s="214"/>
      <x:c r="T84" s="214"/>
    </x:row>
    <x:row r="85">
      <x:c r="A85" s="214"/>
      <x:c r="B85" s="214"/>
      <x:c r="C85" s="214"/>
      <x:c r="D85" s="214"/>
      <x:c r="E85" s="214"/>
      <x:c r="F85" s="214"/>
      <x:c r="G85" s="214"/>
      <x:c r="H85" s="214"/>
      <x:c r="I85" s="214"/>
      <x:c r="J85" s="214"/>
      <x:c r="K85" s="214"/>
      <x:c r="L85" s="214"/>
      <x:c r="M85" s="214"/>
      <x:c r="N85" s="214"/>
      <x:c r="O85" s="214"/>
      <x:c r="P85" s="214"/>
      <x:c r="Q85" s="214"/>
      <x:c r="R85" s="214"/>
      <x:c r="S85" s="214"/>
      <x:c r="T85" s="214"/>
    </x:row>
    <x:row r="86">
      <x:c r="A86" s="214"/>
      <x:c r="B86" s="214"/>
      <x:c r="C86" s="214"/>
      <x:c r="D86" s="214"/>
      <x:c r="E86" s="214"/>
      <x:c r="F86" s="214"/>
      <x:c r="G86" s="214"/>
      <x:c r="H86" s="214"/>
      <x:c r="I86" s="214"/>
      <x:c r="J86" s="214"/>
      <x:c r="K86" s="214"/>
      <x:c r="L86" s="214"/>
      <x:c r="M86" s="214"/>
      <x:c r="N86" s="214"/>
      <x:c r="O86" s="214"/>
      <x:c r="P86" s="214"/>
      <x:c r="Q86" s="214"/>
      <x:c r="R86" s="214"/>
      <x:c r="S86" s="214"/>
      <x:c r="T86" s="214"/>
    </x:row>
    <x:row r="87">
      <x:c r="A87" s="214"/>
      <x:c r="B87" s="214"/>
      <x:c r="C87" s="214"/>
      <x:c r="D87" s="214"/>
      <x:c r="E87" s="214"/>
      <x:c r="F87" s="214"/>
      <x:c r="G87" s="214"/>
      <x:c r="H87" s="214"/>
      <x:c r="I87" s="214"/>
      <x:c r="J87" s="214"/>
      <x:c r="K87" s="214"/>
      <x:c r="L87" s="214"/>
      <x:c r="M87" s="214"/>
      <x:c r="N87" s="214"/>
      <x:c r="O87" s="214"/>
      <x:c r="P87" s="214"/>
      <x:c r="Q87" s="214"/>
      <x:c r="R87" s="214"/>
      <x:c r="S87" s="214"/>
      <x:c r="T87" s="214"/>
    </x:row>
    <x:row r="88">
      <x:c r="A88" s="214"/>
      <x:c r="B88" s="214"/>
      <x:c r="C88" s="214"/>
      <x:c r="D88" s="214"/>
      <x:c r="E88" s="214"/>
      <x:c r="F88" s="214"/>
      <x:c r="G88" s="214"/>
      <x:c r="H88" s="214"/>
      <x:c r="I88" s="214"/>
      <x:c r="J88" s="214"/>
      <x:c r="K88" s="214"/>
      <x:c r="L88" s="214"/>
      <x:c r="M88" s="214"/>
      <x:c r="N88" s="214"/>
      <x:c r="O88" s="214"/>
      <x:c r="P88" s="214"/>
      <x:c r="Q88" s="214"/>
      <x:c r="R88" s="214"/>
      <x:c r="S88" s="214"/>
      <x:c r="T88" s="214"/>
    </x:row>
    <x:row r="89">
      <x:c r="A89" s="214"/>
      <x:c r="B89" s="214"/>
      <x:c r="C89" s="214"/>
      <x:c r="D89" s="214"/>
      <x:c r="E89" s="214"/>
      <x:c r="F89" s="214"/>
      <x:c r="G89" s="214"/>
      <x:c r="H89" s="214"/>
      <x:c r="I89" s="214"/>
      <x:c r="J89" s="214"/>
      <x:c r="K89" s="214"/>
      <x:c r="L89" s="214"/>
      <x:c r="M89" s="214"/>
      <x:c r="N89" s="214"/>
      <x:c r="O89" s="214"/>
      <x:c r="P89" s="214"/>
      <x:c r="Q89" s="214"/>
      <x:c r="R89" s="214"/>
      <x:c r="S89" s="214"/>
      <x:c r="T89" s="214"/>
    </x:row>
    <x:row r="90">
      <x:c r="A90" s="214"/>
      <x:c r="B90" s="214"/>
      <x:c r="C90" s="214"/>
      <x:c r="D90" s="214"/>
      <x:c r="E90" s="214"/>
      <x:c r="F90" s="214"/>
      <x:c r="G90" s="214"/>
      <x:c r="H90" s="214"/>
      <x:c r="I90" s="214"/>
      <x:c r="J90" s="214"/>
      <x:c r="K90" s="214"/>
      <x:c r="L90" s="214"/>
      <x:c r="M90" s="214"/>
      <x:c r="N90" s="214"/>
      <x:c r="O90" s="214"/>
      <x:c r="P90" s="214"/>
      <x:c r="Q90" s="214"/>
      <x:c r="R90" s="214"/>
      <x:c r="S90" s="214"/>
      <x:c r="T90" s="214"/>
    </x:row>
    <x:row r="91">
      <x:c r="A91" s="214"/>
      <x:c r="B91" s="214"/>
      <x:c r="C91" s="214"/>
      <x:c r="D91" s="214"/>
      <x:c r="E91" s="214"/>
      <x:c r="F91" s="214"/>
      <x:c r="G91" s="214"/>
      <x:c r="H91" s="214"/>
      <x:c r="I91" s="214"/>
      <x:c r="J91" s="214"/>
      <x:c r="K91" s="214"/>
      <x:c r="L91" s="214"/>
      <x:c r="M91" s="214"/>
      <x:c r="N91" s="214"/>
      <x:c r="O91" s="214"/>
      <x:c r="P91" s="214"/>
      <x:c r="Q91" s="214"/>
      <x:c r="R91" s="214"/>
      <x:c r="S91" s="214"/>
      <x:c r="T91" s="214"/>
    </x:row>
    <x:row r="92">
      <x:c r="A92" s="214"/>
      <x:c r="B92" s="214"/>
      <x:c r="C92" s="214"/>
      <x:c r="D92" s="214"/>
      <x:c r="E92" s="214"/>
      <x:c r="F92" s="214"/>
      <x:c r="G92" s="214"/>
      <x:c r="H92" s="214"/>
      <x:c r="I92" s="214"/>
      <x:c r="J92" s="214"/>
      <x:c r="K92" s="214"/>
      <x:c r="L92" s="214"/>
      <x:c r="M92" s="214"/>
      <x:c r="N92" s="214"/>
      <x:c r="O92" s="214"/>
      <x:c r="P92" s="214"/>
      <x:c r="Q92" s="214"/>
      <x:c r="R92" s="214"/>
      <x:c r="S92" s="214"/>
      <x:c r="T92" s="214"/>
    </x:row>
    <x:row r="93">
      <x:c r="A93" s="214"/>
      <x:c r="B93" s="214"/>
      <x:c r="C93" s="214"/>
      <x:c r="D93" s="214"/>
      <x:c r="E93" s="214"/>
      <x:c r="F93" s="214"/>
      <x:c r="G93" s="214"/>
      <x:c r="H93" s="214"/>
      <x:c r="I93" s="214"/>
      <x:c r="J93" s="214"/>
      <x:c r="K93" s="214"/>
      <x:c r="L93" s="214"/>
      <x:c r="M93" s="214"/>
      <x:c r="N93" s="214"/>
      <x:c r="O93" s="214"/>
      <x:c r="P93" s="214"/>
      <x:c r="Q93" s="214"/>
      <x:c r="R93" s="214"/>
      <x:c r="S93" s="214"/>
      <x:c r="T93" s="214"/>
    </x:row>
    <x:row r="94">
      <x:c r="A94" s="214"/>
      <x:c r="B94" s="214"/>
      <x:c r="C94" s="214"/>
      <x:c r="D94" s="214"/>
      <x:c r="E94" s="214"/>
      <x:c r="F94" s="214"/>
      <x:c r="G94" s="214"/>
      <x:c r="H94" s="214"/>
      <x:c r="I94" s="214"/>
      <x:c r="J94" s="214"/>
      <x:c r="K94" s="214"/>
      <x:c r="L94" s="214"/>
      <x:c r="M94" s="214"/>
      <x:c r="N94" s="214"/>
      <x:c r="O94" s="214"/>
      <x:c r="P94" s="214"/>
      <x:c r="Q94" s="214"/>
      <x:c r="R94" s="214"/>
      <x:c r="S94" s="214"/>
      <x:c r="T94" s="214"/>
    </x:row>
    <x:row r="95">
      <x:c r="A95" s="214"/>
      <x:c r="B95" s="214"/>
      <x:c r="C95" s="214"/>
      <x:c r="D95" s="214"/>
      <x:c r="E95" s="214"/>
      <x:c r="F95" s="214"/>
      <x:c r="G95" s="214"/>
      <x:c r="H95" s="214"/>
      <x:c r="I95" s="214"/>
      <x:c r="J95" s="214"/>
      <x:c r="K95" s="214"/>
      <x:c r="L95" s="214"/>
      <x:c r="M95" s="214"/>
      <x:c r="N95" s="214"/>
      <x:c r="O95" s="214"/>
      <x:c r="P95" s="214"/>
      <x:c r="Q95" s="214"/>
      <x:c r="R95" s="214"/>
      <x:c r="S95" s="214"/>
      <x:c r="T95" s="214"/>
    </x:row>
    <x:row r="96">
      <x:c r="A96" s="214"/>
      <x:c r="B96" s="214"/>
      <x:c r="C96" s="214"/>
      <x:c r="D96" s="214"/>
      <x:c r="E96" s="214"/>
      <x:c r="F96" s="214"/>
      <x:c r="G96" s="214"/>
      <x:c r="H96" s="214"/>
      <x:c r="I96" s="214"/>
      <x:c r="J96" s="214"/>
      <x:c r="K96" s="214"/>
      <x:c r="L96" s="214"/>
      <x:c r="M96" s="214"/>
      <x:c r="N96" s="214"/>
      <x:c r="O96" s="214"/>
      <x:c r="P96" s="214"/>
      <x:c r="Q96" s="214"/>
      <x:c r="R96" s="214"/>
      <x:c r="S96" s="214"/>
      <x:c r="T96" s="214"/>
    </x:row>
    <x:row r="97">
      <x:c r="A97" s="214"/>
      <x:c r="B97" s="214"/>
      <x:c r="C97" s="214"/>
      <x:c r="D97" s="214"/>
      <x:c r="E97" s="214"/>
      <x:c r="F97" s="214"/>
      <x:c r="G97" s="214"/>
      <x:c r="H97" s="214"/>
      <x:c r="I97" s="214"/>
      <x:c r="J97" s="214"/>
      <x:c r="K97" s="214"/>
      <x:c r="L97" s="214"/>
      <x:c r="M97" s="214"/>
      <x:c r="N97" s="214"/>
      <x:c r="O97" s="214"/>
      <x:c r="P97" s="214"/>
      <x:c r="Q97" s="214"/>
      <x:c r="R97" s="214"/>
      <x:c r="S97" s="214"/>
      <x:c r="T97" s="214"/>
    </x:row>
    <x:row r="98">
      <x:c r="A98" s="214"/>
      <x:c r="B98" s="214"/>
      <x:c r="C98" s="214"/>
      <x:c r="D98" s="214"/>
      <x:c r="E98" s="214"/>
      <x:c r="F98" s="214"/>
      <x:c r="G98" s="214"/>
      <x:c r="H98" s="214"/>
      <x:c r="I98" s="214"/>
      <x:c r="J98" s="214"/>
      <x:c r="K98" s="214"/>
      <x:c r="L98" s="214"/>
      <x:c r="M98" s="214"/>
      <x:c r="N98" s="214"/>
      <x:c r="O98" s="214"/>
      <x:c r="P98" s="214"/>
      <x:c r="Q98" s="214"/>
      <x:c r="R98" s="214"/>
      <x:c r="S98" s="214"/>
      <x:c r="T98" s="214"/>
    </x:row>
    <x:row r="99">
      <x:c r="A99" s="214"/>
      <x:c r="B99" s="214"/>
      <x:c r="C99" s="214"/>
      <x:c r="D99" s="214"/>
      <x:c r="E99" s="214"/>
      <x:c r="F99" s="214"/>
      <x:c r="G99" s="214"/>
      <x:c r="H99" s="214"/>
      <x:c r="I99" s="214"/>
      <x:c r="J99" s="214"/>
      <x:c r="K99" s="214"/>
      <x:c r="L99" s="214"/>
      <x:c r="M99" s="214"/>
      <x:c r="N99" s="214"/>
      <x:c r="O99" s="214"/>
      <x:c r="P99" s="214"/>
      <x:c r="Q99" s="214"/>
      <x:c r="R99" s="214"/>
      <x:c r="S99" s="214"/>
      <x:c r="T99" s="214"/>
    </x:row>
    <x:row r="100">
      <x:c r="A100" s="214"/>
      <x:c r="B100" s="214"/>
      <x:c r="C100" s="214"/>
      <x:c r="D100" s="214"/>
      <x:c r="E100" s="214"/>
      <x:c r="F100" s="214"/>
      <x:c r="G100" s="214"/>
      <x:c r="H100" s="214"/>
      <x:c r="I100" s="214"/>
      <x:c r="J100" s="214"/>
      <x:c r="K100" s="214"/>
      <x:c r="L100" s="214"/>
      <x:c r="M100" s="214"/>
      <x:c r="N100" s="214"/>
      <x:c r="O100" s="214"/>
      <x:c r="P100" s="214"/>
      <x:c r="Q100" s="214"/>
      <x:c r="R100" s="214"/>
      <x:c r="S100" s="214"/>
      <x:c r="T100" s="214"/>
    </x:row>
    <x:row r="101">
      <x:c r="A101" s="214"/>
      <x:c r="B101" s="214"/>
      <x:c r="C101" s="214"/>
      <x:c r="D101" s="214"/>
      <x:c r="E101" s="214"/>
      <x:c r="F101" s="214"/>
      <x:c r="G101" s="214"/>
      <x:c r="H101" s="214"/>
      <x:c r="I101" s="214"/>
      <x:c r="J101" s="214"/>
      <x:c r="K101" s="214"/>
      <x:c r="L101" s="214"/>
      <x:c r="M101" s="214"/>
      <x:c r="N101" s="214"/>
      <x:c r="O101" s="214"/>
      <x:c r="P101" s="214"/>
      <x:c r="Q101" s="214"/>
      <x:c r="R101" s="214"/>
      <x:c r="S101" s="214"/>
      <x:c r="T101" s="214"/>
    </x:row>
    <x:row r="102">
      <x:c r="A102" s="214"/>
      <x:c r="B102" s="214"/>
      <x:c r="C102" s="214"/>
      <x:c r="D102" s="214"/>
      <x:c r="E102" s="214"/>
      <x:c r="F102" s="214"/>
      <x:c r="G102" s="214"/>
      <x:c r="H102" s="214"/>
      <x:c r="I102" s="214"/>
      <x:c r="J102" s="214"/>
      <x:c r="K102" s="214"/>
      <x:c r="L102" s="214"/>
      <x:c r="M102" s="214"/>
      <x:c r="N102" s="214"/>
      <x:c r="O102" s="214"/>
      <x:c r="P102" s="214"/>
      <x:c r="Q102" s="214"/>
      <x:c r="R102" s="214"/>
      <x:c r="S102" s="214"/>
      <x:c r="T102" s="214"/>
    </x:row>
    <x:row r="103">
      <x:c r="A103" s="214"/>
      <x:c r="B103" s="214"/>
      <x:c r="C103" s="214"/>
      <x:c r="D103" s="214"/>
      <x:c r="E103" s="214"/>
      <x:c r="F103" s="214"/>
      <x:c r="G103" s="214"/>
      <x:c r="H103" s="214"/>
      <x:c r="I103" s="214"/>
      <x:c r="J103" s="214"/>
      <x:c r="K103" s="214"/>
      <x:c r="L103" s="214"/>
      <x:c r="M103" s="214"/>
      <x:c r="N103" s="214"/>
      <x:c r="O103" s="214"/>
      <x:c r="P103" s="214"/>
      <x:c r="Q103" s="214"/>
      <x:c r="R103" s="214"/>
      <x:c r="S103" s="214"/>
      <x:c r="T103" s="214"/>
    </x:row>
    <x:row r="104">
      <x:c r="A104" s="214"/>
      <x:c r="B104" s="214"/>
      <x:c r="C104" s="214"/>
      <x:c r="D104" s="214"/>
      <x:c r="E104" s="214"/>
      <x:c r="F104" s="214"/>
      <x:c r="G104" s="214"/>
      <x:c r="H104" s="214"/>
      <x:c r="I104" s="214"/>
      <x:c r="J104" s="214"/>
      <x:c r="K104" s="214"/>
      <x:c r="L104" s="214"/>
      <x:c r="M104" s="214"/>
      <x:c r="N104" s="214"/>
      <x:c r="O104" s="214"/>
      <x:c r="P104" s="214"/>
      <x:c r="Q104" s="214"/>
      <x:c r="R104" s="214"/>
      <x:c r="S104" s="214"/>
      <x:c r="T104" s="214"/>
    </x:row>
    <x:row r="105">
      <x:c r="A105" s="214"/>
      <x:c r="B105" s="214"/>
      <x:c r="C105" s="214"/>
      <x:c r="D105" s="214"/>
      <x:c r="E105" s="214"/>
      <x:c r="F105" s="214"/>
      <x:c r="G105" s="214"/>
      <x:c r="H105" s="214"/>
      <x:c r="I105" s="214"/>
      <x:c r="J105" s="214"/>
      <x:c r="K105" s="214"/>
      <x:c r="L105" s="214"/>
      <x:c r="M105" s="214"/>
      <x:c r="N105" s="214"/>
      <x:c r="O105" s="214"/>
      <x:c r="P105" s="214"/>
      <x:c r="Q105" s="214"/>
      <x:c r="R105" s="214"/>
      <x:c r="S105" s="214"/>
      <x:c r="T105" s="214"/>
    </x:row>
    <x:row r="106">
      <x:c r="A106" s="214"/>
      <x:c r="B106" s="214"/>
      <x:c r="C106" s="214"/>
      <x:c r="D106" s="214"/>
      <x:c r="E106" s="214"/>
      <x:c r="F106" s="214"/>
      <x:c r="G106" s="214"/>
      <x:c r="H106" s="214"/>
      <x:c r="I106" s="214"/>
      <x:c r="J106" s="214"/>
      <x:c r="K106" s="214"/>
      <x:c r="L106" s="214"/>
      <x:c r="M106" s="214"/>
      <x:c r="N106" s="214"/>
      <x:c r="O106" s="214"/>
      <x:c r="P106" s="214"/>
      <x:c r="Q106" s="214"/>
      <x:c r="R106" s="214"/>
      <x:c r="S106" s="214"/>
      <x:c r="T106" s="214"/>
    </x:row>
    <x:row r="107">
      <x:c r="A107" s="214"/>
      <x:c r="B107" s="214"/>
      <x:c r="C107" s="214"/>
      <x:c r="D107" s="214"/>
      <x:c r="E107" s="214"/>
      <x:c r="F107" s="214"/>
      <x:c r="G107" s="214"/>
      <x:c r="H107" s="214"/>
      <x:c r="I107" s="214"/>
      <x:c r="J107" s="214"/>
      <x:c r="K107" s="214"/>
      <x:c r="L107" s="214"/>
      <x:c r="M107" s="214"/>
      <x:c r="N107" s="214"/>
      <x:c r="O107" s="214"/>
      <x:c r="P107" s="214"/>
      <x:c r="Q107" s="214"/>
      <x:c r="R107" s="214"/>
      <x:c r="S107" s="214"/>
      <x:c r="T107" s="214"/>
    </x:row>
    <x:row r="108">
      <x:c r="A108" s="214"/>
      <x:c r="B108" s="214"/>
      <x:c r="C108" s="214"/>
      <x:c r="D108" s="214"/>
      <x:c r="E108" s="214"/>
      <x:c r="F108" s="214"/>
      <x:c r="G108" s="214"/>
      <x:c r="H108" s="214"/>
      <x:c r="I108" s="214"/>
      <x:c r="J108" s="214"/>
      <x:c r="K108" s="214"/>
      <x:c r="L108" s="214"/>
      <x:c r="M108" s="214"/>
      <x:c r="N108" s="214"/>
      <x:c r="O108" s="214"/>
      <x:c r="P108" s="214"/>
      <x:c r="Q108" s="214"/>
      <x:c r="R108" s="214"/>
      <x:c r="S108" s="214"/>
      <x:c r="T108" s="214"/>
    </x:row>
    <x:row r="109">
      <x:c r="A109" s="214"/>
      <x:c r="B109" s="214"/>
      <x:c r="C109" s="214"/>
      <x:c r="D109" s="214"/>
      <x:c r="E109" s="214"/>
      <x:c r="F109" s="214"/>
      <x:c r="G109" s="214"/>
      <x:c r="H109" s="214"/>
      <x:c r="I109" s="214"/>
      <x:c r="J109" s="214"/>
      <x:c r="K109" s="214"/>
      <x:c r="L109" s="214"/>
      <x:c r="M109" s="214"/>
      <x:c r="N109" s="214"/>
      <x:c r="O109" s="214"/>
      <x:c r="P109" s="214"/>
      <x:c r="Q109" s="214"/>
      <x:c r="R109" s="214"/>
      <x:c r="S109" s="214"/>
      <x:c r="T109" s="214"/>
    </x:row>
    <x:row r="110">
      <x:c r="A110" s="214"/>
      <x:c r="B110" s="214"/>
      <x:c r="C110" s="214"/>
      <x:c r="D110" s="214"/>
      <x:c r="E110" s="214"/>
      <x:c r="F110" s="214"/>
      <x:c r="G110" s="214"/>
      <x:c r="H110" s="214"/>
      <x:c r="I110" s="214"/>
      <x:c r="J110" s="214"/>
      <x:c r="K110" s="214"/>
      <x:c r="L110" s="214"/>
      <x:c r="M110" s="214"/>
      <x:c r="N110" s="214"/>
      <x:c r="O110" s="214"/>
      <x:c r="P110" s="214"/>
      <x:c r="Q110" s="214"/>
      <x:c r="R110" s="214"/>
      <x:c r="S110" s="214"/>
      <x:c r="T110" s="214"/>
    </x:row>
    <x:row r="111">
      <x:c r="A111" s="214"/>
      <x:c r="B111" s="214"/>
      <x:c r="C111" s="214"/>
      <x:c r="D111" s="214"/>
      <x:c r="E111" s="214"/>
      <x:c r="F111" s="214"/>
      <x:c r="G111" s="214"/>
      <x:c r="H111" s="214"/>
      <x:c r="I111" s="214"/>
      <x:c r="J111" s="214"/>
      <x:c r="K111" s="214"/>
      <x:c r="L111" s="214"/>
      <x:c r="M111" s="214"/>
      <x:c r="N111" s="214"/>
      <x:c r="O111" s="214"/>
      <x:c r="P111" s="214"/>
      <x:c r="Q111" s="214"/>
      <x:c r="R111" s="214"/>
      <x:c r="S111" s="214"/>
      <x:c r="T111" s="214"/>
    </x:row>
    <x:row r="112">
      <x:c r="A112" s="214"/>
      <x:c r="B112" s="214"/>
      <x:c r="C112" s="214"/>
      <x:c r="D112" s="214"/>
      <x:c r="E112" s="214"/>
      <x:c r="F112" s="214"/>
      <x:c r="G112" s="214"/>
      <x:c r="H112" s="214"/>
      <x:c r="I112" s="214"/>
      <x:c r="J112" s="214"/>
      <x:c r="K112" s="214"/>
      <x:c r="L112" s="214"/>
      <x:c r="M112" s="214"/>
      <x:c r="N112" s="214"/>
      <x:c r="O112" s="214"/>
      <x:c r="P112" s="214"/>
      <x:c r="Q112" s="214"/>
      <x:c r="R112" s="214"/>
      <x:c r="S112" s="214"/>
      <x:c r="T112" s="214"/>
    </x:row>
    <x:row r="113">
      <x:c r="A113" s="214"/>
      <x:c r="B113" s="214"/>
      <x:c r="C113" s="214"/>
      <x:c r="D113" s="214"/>
      <x:c r="E113" s="214"/>
      <x:c r="F113" s="214"/>
      <x:c r="G113" s="214"/>
      <x:c r="H113" s="214"/>
      <x:c r="I113" s="214"/>
      <x:c r="J113" s="214"/>
      <x:c r="K113" s="214"/>
      <x:c r="L113" s="214"/>
      <x:c r="M113" s="214"/>
      <x:c r="N113" s="214"/>
      <x:c r="O113" s="214"/>
      <x:c r="P113" s="214"/>
      <x:c r="Q113" s="214"/>
      <x:c r="R113" s="214"/>
      <x:c r="S113" s="214"/>
      <x:c r="T113" s="214"/>
    </x:row>
    <x:row r="114">
      <x:c r="A114" s="214"/>
      <x:c r="B114" s="214"/>
      <x:c r="C114" s="214"/>
      <x:c r="D114" s="214"/>
      <x:c r="E114" s="214"/>
      <x:c r="F114" s="214"/>
      <x:c r="G114" s="214"/>
      <x:c r="H114" s="214"/>
      <x:c r="I114" s="214"/>
      <x:c r="J114" s="214"/>
      <x:c r="K114" s="214"/>
      <x:c r="L114" s="214"/>
      <x:c r="M114" s="214"/>
      <x:c r="N114" s="214"/>
      <x:c r="O114" s="214"/>
      <x:c r="P114" s="214"/>
      <x:c r="Q114" s="214"/>
      <x:c r="R114" s="214"/>
      <x:c r="S114" s="214"/>
      <x:c r="T114" s="214"/>
    </x:row>
    <x:row r="115">
      <x:c r="A115" s="214"/>
      <x:c r="B115" s="214"/>
      <x:c r="C115" s="214"/>
      <x:c r="D115" s="214"/>
      <x:c r="E115" s="214"/>
      <x:c r="F115" s="214"/>
      <x:c r="G115" s="214"/>
      <x:c r="H115" s="214"/>
      <x:c r="I115" s="214"/>
      <x:c r="J115" s="214"/>
      <x:c r="K115" s="214"/>
      <x:c r="L115" s="214"/>
      <x:c r="M115" s="214"/>
      <x:c r="N115" s="214"/>
      <x:c r="O115" s="214"/>
      <x:c r="P115" s="214"/>
      <x:c r="Q115" s="214"/>
      <x:c r="R115" s="214"/>
      <x:c r="S115" s="214"/>
      <x:c r="T115" s="214"/>
    </x:row>
    <x:row r="116">
      <x:c r="A116" s="214"/>
      <x:c r="B116" s="214"/>
      <x:c r="C116" s="214"/>
      <x:c r="D116" s="214"/>
      <x:c r="E116" s="214"/>
      <x:c r="F116" s="214"/>
      <x:c r="G116" s="214"/>
      <x:c r="H116" s="214"/>
      <x:c r="I116" s="214"/>
      <x:c r="J116" s="214"/>
      <x:c r="K116" s="214"/>
      <x:c r="L116" s="214"/>
      <x:c r="M116" s="214"/>
      <x:c r="N116" s="214"/>
      <x:c r="O116" s="214"/>
      <x:c r="P116" s="214"/>
      <x:c r="Q116" s="214"/>
      <x:c r="R116" s="214"/>
      <x:c r="S116" s="214"/>
      <x:c r="T116" s="214"/>
    </x:row>
    <x:row r="117">
      <x:c r="A117" s="214"/>
      <x:c r="B117" s="214"/>
      <x:c r="C117" s="214"/>
      <x:c r="D117" s="214"/>
      <x:c r="E117" s="214"/>
      <x:c r="F117" s="214"/>
      <x:c r="G117" s="214"/>
      <x:c r="H117" s="214"/>
      <x:c r="I117" s="214"/>
      <x:c r="J117" s="214"/>
      <x:c r="K117" s="214"/>
      <x:c r="L117" s="214"/>
      <x:c r="M117" s="214"/>
      <x:c r="N117" s="214"/>
      <x:c r="O117" s="214"/>
      <x:c r="P117" s="214"/>
      <x:c r="Q117" s="214"/>
      <x:c r="R117" s="214"/>
      <x:c r="S117" s="214"/>
      <x:c r="T117" s="214"/>
    </x:row>
    <x:row r="118">
      <x:c r="A118" s="214"/>
      <x:c r="B118" s="214"/>
      <x:c r="C118" s="214"/>
      <x:c r="D118" s="214"/>
      <x:c r="E118" s="214"/>
      <x:c r="F118" s="214"/>
      <x:c r="G118" s="214"/>
      <x:c r="H118" s="214"/>
      <x:c r="I118" s="214"/>
      <x:c r="J118" s="214"/>
      <x:c r="K118" s="214"/>
      <x:c r="L118" s="214"/>
      <x:c r="M118" s="214"/>
      <x:c r="N118" s="214"/>
      <x:c r="O118" s="214"/>
      <x:c r="P118" s="214"/>
      <x:c r="Q118" s="214"/>
      <x:c r="R118" s="214"/>
      <x:c r="S118" s="214"/>
      <x:c r="T118" s="214"/>
    </x:row>
    <x:row r="119">
      <x:c r="A119" s="214"/>
      <x:c r="B119" s="214"/>
      <x:c r="C119" s="214"/>
      <x:c r="D119" s="214"/>
      <x:c r="E119" s="214"/>
      <x:c r="F119" s="214"/>
      <x:c r="G119" s="214"/>
      <x:c r="H119" s="214"/>
      <x:c r="I119" s="214"/>
      <x:c r="J119" s="214"/>
      <x:c r="K119" s="214"/>
      <x:c r="L119" s="214"/>
      <x:c r="M119" s="214"/>
      <x:c r="N119" s="214"/>
      <x:c r="O119" s="214"/>
      <x:c r="P119" s="214"/>
      <x:c r="Q119" s="214"/>
      <x:c r="R119" s="214"/>
      <x:c r="S119" s="214"/>
      <x:c r="T119" s="214"/>
    </x:row>
    <x:row r="120">
      <x:c r="A120" s="214"/>
      <x:c r="B120" s="214"/>
      <x:c r="C120" s="214"/>
      <x:c r="D120" s="214"/>
      <x:c r="E120" s="214"/>
      <x:c r="F120" s="214"/>
      <x:c r="G120" s="214"/>
      <x:c r="H120" s="214"/>
      <x:c r="I120" s="214"/>
      <x:c r="J120" s="214"/>
      <x:c r="K120" s="214"/>
      <x:c r="L120" s="214"/>
      <x:c r="M120" s="214"/>
      <x:c r="N120" s="214"/>
      <x:c r="O120" s="214"/>
      <x:c r="P120" s="214"/>
      <x:c r="Q120" s="214"/>
      <x:c r="R120" s="214"/>
      <x:c r="S120" s="214"/>
      <x:c r="T120" s="214"/>
    </x:row>
    <x:row r="121">
      <x:c r="A121" s="214"/>
      <x:c r="B121" s="214"/>
      <x:c r="C121" s="214"/>
      <x:c r="D121" s="214"/>
      <x:c r="E121" s="214"/>
      <x:c r="F121" s="214"/>
      <x:c r="G121" s="214"/>
      <x:c r="H121" s="214"/>
      <x:c r="I121" s="214"/>
      <x:c r="J121" s="214"/>
      <x:c r="K121" s="214"/>
      <x:c r="L121" s="214"/>
      <x:c r="M121" s="214"/>
      <x:c r="N121" s="214"/>
      <x:c r="O121" s="214"/>
      <x:c r="P121" s="214"/>
      <x:c r="Q121" s="214"/>
      <x:c r="R121" s="214"/>
      <x:c r="S121" s="214"/>
      <x:c r="T121" s="214"/>
    </x:row>
    <x:row r="122">
      <x:c r="A122" s="214"/>
      <x:c r="B122" s="214"/>
      <x:c r="C122" s="214"/>
      <x:c r="D122" s="214"/>
      <x:c r="E122" s="214"/>
      <x:c r="F122" s="214"/>
      <x:c r="G122" s="214"/>
      <x:c r="H122" s="214"/>
      <x:c r="I122" s="214"/>
      <x:c r="J122" s="214"/>
      <x:c r="K122" s="214"/>
      <x:c r="L122" s="214"/>
      <x:c r="M122" s="214"/>
      <x:c r="N122" s="214"/>
      <x:c r="O122" s="214"/>
      <x:c r="P122" s="214"/>
      <x:c r="Q122" s="214"/>
      <x:c r="R122" s="214"/>
      <x:c r="S122" s="214"/>
      <x:c r="T122" s="214"/>
    </x:row>
    <x:row r="123">
      <x:c r="A123" s="214"/>
      <x:c r="B123" s="214"/>
      <x:c r="C123" s="214"/>
      <x:c r="D123" s="214"/>
      <x:c r="E123" s="214"/>
      <x:c r="F123" s="214"/>
      <x:c r="G123" s="214"/>
      <x:c r="H123" s="214"/>
      <x:c r="I123" s="214"/>
      <x:c r="J123" s="214"/>
      <x:c r="K123" s="214"/>
      <x:c r="L123" s="214"/>
      <x:c r="M123" s="214"/>
      <x:c r="N123" s="214"/>
      <x:c r="O123" s="214"/>
      <x:c r="P123" s="214"/>
      <x:c r="Q123" s="214"/>
      <x:c r="R123" s="214"/>
      <x:c r="S123" s="214"/>
      <x:c r="T123" s="214"/>
    </x:row>
    <x:row r="124">
      <x:c r="A124" s="214"/>
      <x:c r="B124" s="214"/>
      <x:c r="C124" s="214"/>
      <x:c r="D124" s="214"/>
      <x:c r="E124" s="214"/>
      <x:c r="F124" s="214"/>
      <x:c r="G124" s="214"/>
      <x:c r="H124" s="214"/>
      <x:c r="I124" s="214"/>
      <x:c r="J124" s="214"/>
      <x:c r="K124" s="214"/>
      <x:c r="L124" s="214"/>
      <x:c r="M124" s="214"/>
      <x:c r="N124" s="214"/>
      <x:c r="O124" s="214"/>
      <x:c r="P124" s="214"/>
      <x:c r="Q124" s="214"/>
      <x:c r="R124" s="214"/>
      <x:c r="S124" s="214"/>
      <x:c r="T124" s="214"/>
    </x:row>
    <x:row r="125">
      <x:c r="A125" s="214"/>
      <x:c r="B125" s="214"/>
      <x:c r="C125" s="214"/>
      <x:c r="D125" s="214"/>
      <x:c r="E125" s="214"/>
      <x:c r="F125" s="214"/>
      <x:c r="G125" s="214"/>
      <x:c r="H125" s="214"/>
      <x:c r="I125" s="214"/>
      <x:c r="J125" s="214"/>
      <x:c r="K125" s="214"/>
      <x:c r="L125" s="214"/>
      <x:c r="M125" s="214"/>
      <x:c r="N125" s="214"/>
      <x:c r="O125" s="214"/>
      <x:c r="P125" s="214"/>
      <x:c r="Q125" s="214"/>
      <x:c r="R125" s="214"/>
      <x:c r="S125" s="214"/>
      <x:c r="T125" s="214"/>
    </x:row>
    <x:row r="126">
      <x:c r="A126" s="214"/>
      <x:c r="B126" s="214"/>
      <x:c r="C126" s="214"/>
      <x:c r="D126" s="214"/>
      <x:c r="E126" s="214"/>
      <x:c r="F126" s="214"/>
      <x:c r="G126" s="214"/>
      <x:c r="H126" s="214"/>
      <x:c r="I126" s="214"/>
      <x:c r="J126" s="214"/>
      <x:c r="K126" s="214"/>
      <x:c r="L126" s="214"/>
      <x:c r="M126" s="214"/>
      <x:c r="N126" s="214"/>
      <x:c r="O126" s="214"/>
      <x:c r="P126" s="214"/>
      <x:c r="Q126" s="214"/>
      <x:c r="R126" s="214"/>
      <x:c r="S126" s="214"/>
      <x:c r="T126" s="214"/>
    </x:row>
    <x:row r="127">
      <x:c r="A127" s="214"/>
      <x:c r="B127" s="214"/>
      <x:c r="C127" s="214"/>
      <x:c r="D127" s="214"/>
      <x:c r="E127" s="214"/>
      <x:c r="F127" s="214"/>
      <x:c r="G127" s="214"/>
      <x:c r="H127" s="214"/>
      <x:c r="I127" s="214"/>
      <x:c r="J127" s="214"/>
      <x:c r="K127" s="214"/>
      <x:c r="L127" s="214"/>
      <x:c r="M127" s="214"/>
      <x:c r="N127" s="214"/>
      <x:c r="O127" s="214"/>
      <x:c r="P127" s="214"/>
      <x:c r="Q127" s="214"/>
      <x:c r="R127" s="214"/>
      <x:c r="S127" s="214"/>
      <x:c r="T127" s="214"/>
    </x:row>
    <x:row r="128">
      <x:c r="A128" s="214"/>
      <x:c r="B128" s="214"/>
      <x:c r="C128" s="214"/>
      <x:c r="D128" s="214"/>
      <x:c r="E128" s="214"/>
      <x:c r="F128" s="214"/>
      <x:c r="G128" s="214"/>
      <x:c r="H128" s="214"/>
      <x:c r="I128" s="214"/>
      <x:c r="J128" s="214"/>
      <x:c r="K128" s="214"/>
      <x:c r="L128" s="214"/>
      <x:c r="M128" s="214"/>
      <x:c r="N128" s="214"/>
      <x:c r="O128" s="214"/>
      <x:c r="P128" s="214"/>
      <x:c r="Q128" s="214"/>
      <x:c r="R128" s="214"/>
      <x:c r="S128" s="214"/>
      <x:c r="T128" s="214"/>
    </x:row>
    <x:row r="129">
      <x:c r="A129" s="214"/>
      <x:c r="B129" s="214"/>
      <x:c r="C129" s="214"/>
      <x:c r="D129" s="214"/>
      <x:c r="E129" s="214"/>
      <x:c r="F129" s="214"/>
      <x:c r="G129" s="214"/>
      <x:c r="H129" s="214"/>
      <x:c r="I129" s="214"/>
      <x:c r="J129" s="214"/>
      <x:c r="K129" s="214"/>
      <x:c r="L129" s="214"/>
      <x:c r="M129" s="214"/>
      <x:c r="N129" s="214"/>
      <x:c r="O129" s="214"/>
      <x:c r="P129" s="214"/>
      <x:c r="Q129" s="214"/>
      <x:c r="R129" s="214"/>
      <x:c r="S129" s="214"/>
      <x:c r="T129" s="214"/>
    </x:row>
    <x:row r="130">
      <x:c r="A130" s="214"/>
      <x:c r="B130" s="214"/>
      <x:c r="C130" s="214"/>
      <x:c r="D130" s="214"/>
      <x:c r="E130" s="214"/>
      <x:c r="F130" s="214"/>
      <x:c r="G130" s="214"/>
      <x:c r="H130" s="214"/>
      <x:c r="I130" s="214"/>
      <x:c r="J130" s="214"/>
      <x:c r="K130" s="214"/>
      <x:c r="L130" s="214"/>
      <x:c r="M130" s="214"/>
      <x:c r="N130" s="214"/>
      <x:c r="O130" s="214"/>
      <x:c r="P130" s="214"/>
      <x:c r="Q130" s="214"/>
      <x:c r="R130" s="214"/>
      <x:c r="S130" s="214"/>
      <x:c r="T130" s="214"/>
    </x:row>
    <x:row r="131">
      <x:c r="A131" s="214"/>
      <x:c r="B131" s="214"/>
      <x:c r="C131" s="214"/>
      <x:c r="D131" s="214"/>
      <x:c r="E131" s="214"/>
      <x:c r="F131" s="214"/>
      <x:c r="G131" s="214"/>
      <x:c r="H131" s="214"/>
      <x:c r="I131" s="214"/>
      <x:c r="J131" s="214"/>
      <x:c r="K131" s="214"/>
      <x:c r="L131" s="214"/>
      <x:c r="M131" s="214"/>
      <x:c r="N131" s="214"/>
      <x:c r="O131" s="214"/>
      <x:c r="P131" s="214"/>
      <x:c r="Q131" s="214"/>
      <x:c r="R131" s="214"/>
      <x:c r="S131" s="214"/>
      <x:c r="T131" s="214"/>
    </x:row>
    <x:row r="132">
      <x:c r="A132" s="214"/>
      <x:c r="B132" s="214"/>
      <x:c r="C132" s="214"/>
      <x:c r="D132" s="214"/>
      <x:c r="E132" s="214"/>
      <x:c r="F132" s="214"/>
      <x:c r="G132" s="214"/>
      <x:c r="H132" s="214"/>
      <x:c r="I132" s="214"/>
      <x:c r="J132" s="214"/>
      <x:c r="K132" s="214"/>
      <x:c r="L132" s="214"/>
      <x:c r="M132" s="214"/>
      <x:c r="N132" s="214"/>
      <x:c r="O132" s="214"/>
      <x:c r="P132" s="214"/>
      <x:c r="Q132" s="214"/>
      <x:c r="R132" s="214"/>
      <x:c r="S132" s="214"/>
      <x:c r="T132" s="214"/>
    </x:row>
    <x:row r="133">
      <x:c r="A133" s="214"/>
      <x:c r="B133" s="214"/>
      <x:c r="C133" s="214"/>
      <x:c r="D133" s="214"/>
      <x:c r="E133" s="214"/>
      <x:c r="F133" s="214"/>
      <x:c r="G133" s="214"/>
      <x:c r="H133" s="214"/>
      <x:c r="I133" s="214"/>
      <x:c r="J133" s="214"/>
      <x:c r="K133" s="214"/>
      <x:c r="L133" s="214"/>
      <x:c r="M133" s="214"/>
      <x:c r="N133" s="214"/>
      <x:c r="O133" s="214"/>
      <x:c r="P133" s="214"/>
      <x:c r="Q133" s="214"/>
      <x:c r="R133" s="214"/>
      <x:c r="S133" s="214"/>
      <x:c r="T133" s="214"/>
    </x:row>
    <x:row r="134">
      <x:c r="A134" s="214"/>
      <x:c r="B134" s="214"/>
      <x:c r="C134" s="214"/>
      <x:c r="D134" s="214"/>
      <x:c r="E134" s="214"/>
      <x:c r="F134" s="214"/>
      <x:c r="G134" s="214"/>
      <x:c r="H134" s="214"/>
      <x:c r="I134" s="214"/>
      <x:c r="J134" s="214"/>
      <x:c r="K134" s="214"/>
      <x:c r="L134" s="214"/>
      <x:c r="M134" s="214"/>
      <x:c r="N134" s="214"/>
      <x:c r="O134" s="214"/>
      <x:c r="P134" s="214"/>
      <x:c r="Q134" s="214"/>
      <x:c r="R134" s="214"/>
      <x:c r="S134" s="214"/>
      <x:c r="T134" s="214"/>
    </x:row>
    <x:row r="135">
      <x:c r="A135" s="214"/>
      <x:c r="B135" s="214"/>
      <x:c r="C135" s="214"/>
      <x:c r="D135" s="214"/>
      <x:c r="E135" s="214"/>
      <x:c r="F135" s="214"/>
      <x:c r="G135" s="214"/>
      <x:c r="H135" s="214"/>
      <x:c r="I135" s="214"/>
      <x:c r="J135" s="214"/>
      <x:c r="K135" s="214"/>
      <x:c r="L135" s="214"/>
      <x:c r="M135" s="214"/>
      <x:c r="N135" s="214"/>
      <x:c r="O135" s="214"/>
      <x:c r="P135" s="214"/>
      <x:c r="Q135" s="214"/>
      <x:c r="R135" s="214"/>
      <x:c r="S135" s="214"/>
      <x:c r="T135" s="214"/>
    </x:row>
    <x:row r="136">
      <x:c r="A136" s="214"/>
      <x:c r="B136" s="214"/>
      <x:c r="C136" s="214"/>
      <x:c r="D136" s="214"/>
      <x:c r="E136" s="214"/>
      <x:c r="F136" s="214"/>
      <x:c r="G136" s="214"/>
      <x:c r="H136" s="214"/>
      <x:c r="I136" s="214"/>
      <x:c r="J136" s="214"/>
      <x:c r="K136" s="214"/>
      <x:c r="L136" s="214"/>
      <x:c r="M136" s="214"/>
      <x:c r="N136" s="214"/>
      <x:c r="O136" s="214"/>
      <x:c r="P136" s="214"/>
      <x:c r="Q136" s="214"/>
      <x:c r="R136" s="214"/>
      <x:c r="S136" s="214"/>
      <x:c r="T136" s="214"/>
    </x:row>
    <x:row r="137">
      <x:c r="A137" s="214"/>
      <x:c r="B137" s="214"/>
      <x:c r="C137" s="214"/>
      <x:c r="D137" s="214"/>
      <x:c r="E137" s="214"/>
      <x:c r="F137" s="214"/>
      <x:c r="G137" s="214"/>
      <x:c r="H137" s="214"/>
      <x:c r="I137" s="214"/>
      <x:c r="J137" s="214"/>
      <x:c r="K137" s="214"/>
      <x:c r="L137" s="214"/>
      <x:c r="M137" s="214"/>
      <x:c r="N137" s="214"/>
      <x:c r="O137" s="214"/>
      <x:c r="P137" s="214"/>
      <x:c r="Q137" s="214"/>
      <x:c r="R137" s="214"/>
      <x:c r="S137" s="214"/>
      <x:c r="T137" s="214"/>
    </x:row>
    <x:row r="138">
      <x:c r="A138" s="214"/>
      <x:c r="B138" s="214"/>
      <x:c r="C138" s="214"/>
      <x:c r="D138" s="214"/>
      <x:c r="E138" s="214"/>
      <x:c r="F138" s="214"/>
      <x:c r="G138" s="214"/>
      <x:c r="H138" s="214"/>
      <x:c r="I138" s="214"/>
      <x:c r="J138" s="214"/>
      <x:c r="K138" s="214"/>
      <x:c r="L138" s="214"/>
      <x:c r="M138" s="214"/>
      <x:c r="N138" s="214"/>
      <x:c r="O138" s="214"/>
      <x:c r="P138" s="214"/>
      <x:c r="Q138" s="214"/>
      <x:c r="R138" s="214"/>
      <x:c r="S138" s="214"/>
      <x:c r="T138" s="214"/>
    </x:row>
    <x:row r="139">
      <x:c r="A139" s="214"/>
      <x:c r="B139" s="214"/>
      <x:c r="C139" s="214"/>
      <x:c r="D139" s="214"/>
      <x:c r="E139" s="214"/>
      <x:c r="F139" s="214"/>
      <x:c r="G139" s="214"/>
      <x:c r="H139" s="214"/>
      <x:c r="I139" s="214"/>
      <x:c r="J139" s="214"/>
      <x:c r="K139" s="214"/>
      <x:c r="L139" s="214"/>
      <x:c r="M139" s="214"/>
      <x:c r="N139" s="214"/>
      <x:c r="O139" s="214"/>
      <x:c r="P139" s="214"/>
      <x:c r="Q139" s="214"/>
      <x:c r="R139" s="214"/>
      <x:c r="S139" s="214"/>
      <x:c r="T139" s="214"/>
    </x:row>
    <x:row r="140">
      <x:c r="A140" s="214"/>
      <x:c r="B140" s="214"/>
      <x:c r="C140" s="214"/>
      <x:c r="D140" s="214"/>
      <x:c r="E140" s="214"/>
      <x:c r="F140" s="214"/>
      <x:c r="G140" s="214"/>
      <x:c r="H140" s="214"/>
      <x:c r="I140" s="214"/>
      <x:c r="J140" s="214"/>
      <x:c r="K140" s="214"/>
      <x:c r="L140" s="214"/>
      <x:c r="M140" s="214"/>
      <x:c r="N140" s="214"/>
      <x:c r="O140" s="214"/>
      <x:c r="P140" s="214"/>
      <x:c r="Q140" s="214"/>
      <x:c r="R140" s="214"/>
      <x:c r="S140" s="214"/>
      <x:c r="T140" s="214"/>
    </x:row>
    <x:row r="141">
      <x:c r="A141" s="214"/>
      <x:c r="B141" s="214"/>
      <x:c r="C141" s="214"/>
      <x:c r="D141" s="214"/>
      <x:c r="E141" s="214"/>
      <x:c r="F141" s="214"/>
      <x:c r="G141" s="214"/>
      <x:c r="H141" s="214"/>
      <x:c r="I141" s="214"/>
      <x:c r="J141" s="214"/>
      <x:c r="K141" s="214"/>
      <x:c r="L141" s="214"/>
      <x:c r="M141" s="214"/>
      <x:c r="N141" s="214"/>
      <x:c r="O141" s="214"/>
      <x:c r="P141" s="214"/>
      <x:c r="Q141" s="214"/>
      <x:c r="R141" s="214"/>
      <x:c r="S141" s="214"/>
      <x:c r="T141" s="214"/>
    </x:row>
    <x:row r="142">
      <x:c r="A142" s="214"/>
      <x:c r="B142" s="214"/>
      <x:c r="C142" s="214"/>
      <x:c r="D142" s="214"/>
      <x:c r="E142" s="214"/>
      <x:c r="F142" s="214"/>
      <x:c r="G142" s="214"/>
      <x:c r="H142" s="214"/>
      <x:c r="I142" s="214"/>
      <x:c r="J142" s="214"/>
      <x:c r="K142" s="214"/>
      <x:c r="L142" s="214"/>
      <x:c r="M142" s="214"/>
      <x:c r="N142" s="214"/>
      <x:c r="O142" s="214"/>
      <x:c r="P142" s="214"/>
      <x:c r="Q142" s="214"/>
      <x:c r="R142" s="214"/>
      <x:c r="S142" s="214"/>
      <x:c r="T142" s="214"/>
    </x:row>
    <x:row r="143">
      <x:c r="A143" s="214"/>
      <x:c r="B143" s="214"/>
      <x:c r="C143" s="214"/>
      <x:c r="D143" s="214"/>
      <x:c r="E143" s="214"/>
      <x:c r="F143" s="214"/>
      <x:c r="G143" s="214"/>
      <x:c r="H143" s="214"/>
      <x:c r="I143" s="214"/>
      <x:c r="J143" s="214"/>
      <x:c r="K143" s="214"/>
      <x:c r="L143" s="214"/>
      <x:c r="M143" s="214"/>
      <x:c r="N143" s="214"/>
      <x:c r="O143" s="214"/>
      <x:c r="P143" s="214"/>
      <x:c r="Q143" s="214"/>
      <x:c r="R143" s="214"/>
      <x:c r="S143" s="214"/>
      <x:c r="T143" s="214"/>
    </x:row>
    <x:row r="144">
      <x:c r="A144" s="214"/>
      <x:c r="B144" s="214"/>
      <x:c r="C144" s="214"/>
      <x:c r="D144" s="214"/>
      <x:c r="E144" s="214"/>
      <x:c r="F144" s="214"/>
      <x:c r="G144" s="214"/>
      <x:c r="H144" s="214"/>
      <x:c r="I144" s="214"/>
      <x:c r="J144" s="214"/>
      <x:c r="K144" s="214"/>
      <x:c r="L144" s="214"/>
      <x:c r="M144" s="214"/>
      <x:c r="N144" s="214"/>
      <x:c r="O144" s="214"/>
      <x:c r="P144" s="214"/>
      <x:c r="Q144" s="214"/>
      <x:c r="R144" s="214"/>
      <x:c r="S144" s="214"/>
      <x:c r="T144" s="214"/>
    </x:row>
    <x:row r="145">
      <x:c r="A145" s="214"/>
      <x:c r="B145" s="214"/>
      <x:c r="C145" s="214"/>
      <x:c r="D145" s="214"/>
      <x:c r="E145" s="214"/>
      <x:c r="F145" s="214"/>
      <x:c r="G145" s="214"/>
      <x:c r="H145" s="214"/>
      <x:c r="I145" s="214"/>
      <x:c r="J145" s="214"/>
      <x:c r="K145" s="214"/>
      <x:c r="L145" s="214"/>
      <x:c r="M145" s="214"/>
      <x:c r="N145" s="214"/>
      <x:c r="O145" s="214"/>
      <x:c r="P145" s="214"/>
      <x:c r="Q145" s="214"/>
      <x:c r="R145" s="214"/>
      <x:c r="S145" s="214"/>
      <x:c r="T145" s="214"/>
    </x:row>
    <x:row r="146">
      <x:c r="A146" s="214"/>
      <x:c r="B146" s="214"/>
      <x:c r="C146" s="214"/>
      <x:c r="D146" s="214"/>
      <x:c r="E146" s="214"/>
      <x:c r="F146" s="214"/>
      <x:c r="G146" s="214"/>
      <x:c r="H146" s="214"/>
      <x:c r="I146" s="214"/>
      <x:c r="J146" s="214"/>
      <x:c r="K146" s="214"/>
      <x:c r="L146" s="214"/>
      <x:c r="M146" s="214"/>
      <x:c r="N146" s="214"/>
      <x:c r="O146" s="214"/>
      <x:c r="P146" s="214"/>
      <x:c r="Q146" s="214"/>
      <x:c r="R146" s="214"/>
      <x:c r="S146" s="214"/>
      <x:c r="T146" s="214"/>
    </x:row>
    <x:row r="147">
      <x:c r="A147" s="214"/>
      <x:c r="B147" s="214"/>
      <x:c r="C147" s="214"/>
      <x:c r="D147" s="214"/>
      <x:c r="E147" s="214"/>
      <x:c r="F147" s="214"/>
      <x:c r="G147" s="214"/>
      <x:c r="H147" s="214"/>
      <x:c r="I147" s="214"/>
      <x:c r="J147" s="214"/>
      <x:c r="K147" s="214"/>
      <x:c r="L147" s="214"/>
      <x:c r="M147" s="214"/>
      <x:c r="N147" s="214"/>
      <x:c r="O147" s="214"/>
      <x:c r="P147" s="214"/>
      <x:c r="Q147" s="214"/>
      <x:c r="R147" s="214"/>
      <x:c r="S147" s="214"/>
      <x:c r="T147" s="214"/>
    </x:row>
    <x:row r="148">
      <x:c r="A148" s="214"/>
      <x:c r="B148" s="214"/>
      <x:c r="C148" s="214"/>
      <x:c r="D148" s="214"/>
      <x:c r="E148" s="214"/>
      <x:c r="F148" s="214"/>
      <x:c r="G148" s="214"/>
      <x:c r="H148" s="214"/>
      <x:c r="I148" s="214"/>
      <x:c r="J148" s="214"/>
      <x:c r="K148" s="214"/>
      <x:c r="L148" s="214"/>
      <x:c r="M148" s="214"/>
      <x:c r="N148" s="214"/>
      <x:c r="O148" s="214"/>
      <x:c r="P148" s="214"/>
      <x:c r="Q148" s="214"/>
      <x:c r="R148" s="214"/>
      <x:c r="S148" s="214"/>
      <x:c r="T148" s="214"/>
    </x:row>
    <x:row r="149">
      <x:c r="A149" s="214"/>
      <x:c r="B149" s="214"/>
      <x:c r="C149" s="214"/>
      <x:c r="D149" s="214"/>
      <x:c r="E149" s="214"/>
      <x:c r="F149" s="214"/>
      <x:c r="G149" s="214"/>
      <x:c r="H149" s="214"/>
      <x:c r="I149" s="214"/>
      <x:c r="J149" s="214"/>
      <x:c r="K149" s="214"/>
      <x:c r="L149" s="214"/>
      <x:c r="M149" s="214"/>
      <x:c r="N149" s="214"/>
      <x:c r="O149" s="214"/>
      <x:c r="P149" s="214"/>
      <x:c r="Q149" s="214"/>
      <x:c r="R149" s="214"/>
      <x:c r="S149" s="214"/>
      <x:c r="T149" s="214"/>
    </x:row>
    <x:row r="150">
      <x:c r="A150" s="214"/>
      <x:c r="B150" s="214"/>
      <x:c r="C150" s="214"/>
      <x:c r="D150" s="214"/>
      <x:c r="E150" s="214"/>
      <x:c r="F150" s="214"/>
      <x:c r="G150" s="214"/>
      <x:c r="H150" s="214"/>
      <x:c r="I150" s="214"/>
      <x:c r="J150" s="214"/>
      <x:c r="K150" s="214"/>
      <x:c r="L150" s="214"/>
      <x:c r="M150" s="214"/>
      <x:c r="N150" s="214"/>
      <x:c r="O150" s="214"/>
      <x:c r="P150" s="214"/>
      <x:c r="Q150" s="214"/>
      <x:c r="R150" s="214"/>
      <x:c r="S150" s="214"/>
      <x:c r="T150" s="214"/>
    </x:row>
    <x:row r="151">
      <x:c r="A151" s="214"/>
      <x:c r="B151" s="214"/>
      <x:c r="C151" s="214"/>
      <x:c r="D151" s="214"/>
      <x:c r="E151" s="214"/>
      <x:c r="F151" s="214"/>
      <x:c r="G151" s="214"/>
      <x:c r="H151" s="214"/>
      <x:c r="I151" s="214"/>
      <x:c r="J151" s="214"/>
      <x:c r="K151" s="214"/>
      <x:c r="L151" s="214"/>
      <x:c r="M151" s="214"/>
      <x:c r="N151" s="214"/>
      <x:c r="O151" s="214"/>
      <x:c r="P151" s="214"/>
      <x:c r="Q151" s="214"/>
      <x:c r="R151" s="214"/>
      <x:c r="S151" s="214"/>
      <x:c r="T151" s="214"/>
    </x:row>
    <x:row r="152">
      <x:c r="A152" s="214"/>
      <x:c r="B152" s="214"/>
      <x:c r="C152" s="214"/>
      <x:c r="D152" s="214"/>
      <x:c r="E152" s="214"/>
      <x:c r="F152" s="214"/>
      <x:c r="G152" s="214"/>
      <x:c r="H152" s="214"/>
      <x:c r="I152" s="214"/>
      <x:c r="J152" s="214"/>
      <x:c r="K152" s="214"/>
      <x:c r="L152" s="214"/>
      <x:c r="M152" s="214"/>
      <x:c r="N152" s="214"/>
      <x:c r="O152" s="214"/>
      <x:c r="P152" s="214"/>
      <x:c r="Q152" s="214"/>
      <x:c r="R152" s="214"/>
      <x:c r="S152" s="214"/>
      <x:c r="T152" s="214"/>
    </x:row>
    <x:row r="153">
      <x:c r="A153" s="214"/>
      <x:c r="B153" s="214"/>
      <x:c r="C153" s="214"/>
      <x:c r="D153" s="214"/>
      <x:c r="E153" s="214"/>
      <x:c r="F153" s="214"/>
      <x:c r="G153" s="214"/>
      <x:c r="H153" s="214"/>
      <x:c r="I153" s="214"/>
      <x:c r="J153" s="214"/>
      <x:c r="K153" s="214"/>
      <x:c r="L153" s="214"/>
      <x:c r="M153" s="214"/>
      <x:c r="N153" s="214"/>
      <x:c r="O153" s="214"/>
      <x:c r="P153" s="214"/>
      <x:c r="Q153" s="214"/>
      <x:c r="R153" s="214"/>
      <x:c r="S153" s="214"/>
      <x:c r="T153" s="214"/>
    </x:row>
    <x:row r="154">
      <x:c r="A154" s="214"/>
      <x:c r="B154" s="214"/>
      <x:c r="C154" s="214"/>
      <x:c r="D154" s="214"/>
      <x:c r="E154" s="214"/>
      <x:c r="F154" s="214"/>
      <x:c r="G154" s="214"/>
      <x:c r="H154" s="214"/>
      <x:c r="I154" s="214"/>
      <x:c r="J154" s="214"/>
      <x:c r="K154" s="214"/>
      <x:c r="L154" s="214"/>
      <x:c r="M154" s="214"/>
      <x:c r="N154" s="214"/>
      <x:c r="O154" s="214"/>
      <x:c r="P154" s="214"/>
      <x:c r="Q154" s="214"/>
      <x:c r="R154" s="214"/>
      <x:c r="S154" s="214"/>
      <x:c r="T154" s="214"/>
    </x:row>
    <x:row r="155">
      <x:c r="A155" s="214"/>
      <x:c r="B155" s="214"/>
      <x:c r="C155" s="214"/>
      <x:c r="D155" s="214"/>
      <x:c r="E155" s="214"/>
      <x:c r="F155" s="214"/>
      <x:c r="G155" s="214"/>
      <x:c r="H155" s="214"/>
      <x:c r="I155" s="214"/>
      <x:c r="J155" s="214"/>
      <x:c r="K155" s="214"/>
      <x:c r="L155" s="214"/>
      <x:c r="M155" s="214"/>
      <x:c r="N155" s="214"/>
      <x:c r="O155" s="214"/>
      <x:c r="P155" s="214"/>
      <x:c r="Q155" s="214"/>
      <x:c r="R155" s="214"/>
      <x:c r="S155" s="214"/>
      <x:c r="T155" s="214"/>
    </x:row>
    <x:row r="156">
      <x:c r="A156" s="214"/>
      <x:c r="B156" s="214"/>
      <x:c r="C156" s="214"/>
      <x:c r="D156" s="214"/>
      <x:c r="E156" s="214"/>
      <x:c r="F156" s="214"/>
      <x:c r="G156" s="214"/>
      <x:c r="H156" s="214"/>
      <x:c r="I156" s="214"/>
      <x:c r="J156" s="214"/>
      <x:c r="K156" s="214"/>
      <x:c r="L156" s="214"/>
      <x:c r="M156" s="214"/>
      <x:c r="N156" s="214"/>
      <x:c r="O156" s="214"/>
      <x:c r="P156" s="214"/>
      <x:c r="Q156" s="214"/>
      <x:c r="R156" s="214"/>
      <x:c r="S156" s="214"/>
      <x:c r="T156" s="214"/>
    </x:row>
    <x:row r="157">
      <x:c r="A157" s="214"/>
      <x:c r="B157" s="214"/>
      <x:c r="C157" s="214"/>
      <x:c r="D157" s="214"/>
      <x:c r="E157" s="214"/>
      <x:c r="F157" s="214"/>
      <x:c r="G157" s="214"/>
      <x:c r="H157" s="214"/>
      <x:c r="I157" s="214"/>
      <x:c r="J157" s="214"/>
      <x:c r="K157" s="214"/>
      <x:c r="L157" s="214"/>
      <x:c r="M157" s="214"/>
      <x:c r="N157" s="214"/>
      <x:c r="O157" s="214"/>
      <x:c r="P157" s="214"/>
      <x:c r="Q157" s="214"/>
      <x:c r="R157" s="214"/>
      <x:c r="S157" s="214"/>
      <x:c r="T157" s="214"/>
    </x:row>
    <x:row r="158">
      <x:c r="A158" s="214"/>
      <x:c r="B158" s="214"/>
      <x:c r="C158" s="214"/>
      <x:c r="D158" s="214"/>
      <x:c r="E158" s="214"/>
      <x:c r="F158" s="214"/>
      <x:c r="G158" s="214"/>
      <x:c r="H158" s="214"/>
      <x:c r="I158" s="214"/>
      <x:c r="J158" s="214"/>
      <x:c r="K158" s="214"/>
      <x:c r="L158" s="214"/>
      <x:c r="M158" s="214"/>
      <x:c r="N158" s="214"/>
      <x:c r="O158" s="214"/>
      <x:c r="P158" s="214"/>
      <x:c r="Q158" s="214"/>
      <x:c r="R158" s="214"/>
      <x:c r="S158" s="214"/>
      <x:c r="T158" s="214"/>
    </x:row>
    <x:row r="159">
      <x:c r="A159" s="214"/>
      <x:c r="B159" s="214"/>
      <x:c r="C159" s="214"/>
      <x:c r="D159" s="214"/>
      <x:c r="E159" s="214"/>
      <x:c r="F159" s="214"/>
      <x:c r="G159" s="214"/>
      <x:c r="H159" s="214"/>
      <x:c r="I159" s="214"/>
      <x:c r="J159" s="214"/>
      <x:c r="K159" s="214"/>
      <x:c r="L159" s="214"/>
      <x:c r="M159" s="214"/>
      <x:c r="N159" s="214"/>
      <x:c r="O159" s="214"/>
      <x:c r="P159" s="214"/>
      <x:c r="Q159" s="214"/>
      <x:c r="R159" s="214"/>
      <x:c r="S159" s="214"/>
      <x:c r="T159" s="214"/>
    </x:row>
    <x:row r="160">
      <x:c r="A160" s="214"/>
      <x:c r="B160" s="214"/>
      <x:c r="C160" s="214"/>
      <x:c r="D160" s="214"/>
      <x:c r="E160" s="214"/>
      <x:c r="F160" s="214"/>
      <x:c r="G160" s="214"/>
      <x:c r="H160" s="214"/>
      <x:c r="I160" s="214"/>
      <x:c r="J160" s="214"/>
      <x:c r="K160" s="214"/>
      <x:c r="L160" s="214"/>
      <x:c r="M160" s="214"/>
      <x:c r="N160" s="214"/>
      <x:c r="O160" s="214"/>
      <x:c r="P160" s="214"/>
      <x:c r="Q160" s="214"/>
      <x:c r="R160" s="214"/>
      <x:c r="S160" s="214"/>
      <x:c r="T160" s="214"/>
    </x:row>
    <x:row r="161">
      <x:c r="A161" s="214"/>
      <x:c r="B161" s="214"/>
      <x:c r="C161" s="214"/>
      <x:c r="D161" s="214"/>
      <x:c r="E161" s="214"/>
      <x:c r="F161" s="214"/>
      <x:c r="G161" s="214"/>
      <x:c r="H161" s="214"/>
      <x:c r="I161" s="214"/>
      <x:c r="J161" s="214"/>
      <x:c r="K161" s="214"/>
      <x:c r="L161" s="214"/>
      <x:c r="M161" s="214"/>
      <x:c r="N161" s="214"/>
      <x:c r="O161" s="214"/>
      <x:c r="P161" s="214"/>
      <x:c r="Q161" s="214"/>
      <x:c r="R161" s="214"/>
      <x:c r="S161" s="214"/>
      <x:c r="T161" s="214"/>
    </x:row>
    <x:row r="162">
      <x:c r="A162" s="214"/>
      <x:c r="B162" s="214"/>
      <x:c r="C162" s="214"/>
      <x:c r="D162" s="214"/>
      <x:c r="E162" s="214"/>
      <x:c r="F162" s="214"/>
      <x:c r="G162" s="214"/>
      <x:c r="H162" s="214"/>
      <x:c r="I162" s="214"/>
      <x:c r="J162" s="214"/>
      <x:c r="K162" s="214"/>
      <x:c r="L162" s="214"/>
      <x:c r="M162" s="214"/>
      <x:c r="N162" s="214"/>
      <x:c r="O162" s="214"/>
      <x:c r="P162" s="214"/>
      <x:c r="Q162" s="214"/>
      <x:c r="R162" s="214"/>
      <x:c r="S162" s="214"/>
      <x:c r="T162" s="214"/>
    </x:row>
    <x:row r="163">
      <x:c r="A163" s="214"/>
      <x:c r="B163" s="214"/>
      <x:c r="C163" s="214"/>
      <x:c r="D163" s="214"/>
      <x:c r="E163" s="214"/>
      <x:c r="F163" s="214"/>
      <x:c r="G163" s="214"/>
      <x:c r="H163" s="214"/>
      <x:c r="I163" s="214"/>
      <x:c r="J163" s="214"/>
      <x:c r="K163" s="214"/>
      <x:c r="L163" s="214"/>
      <x:c r="M163" s="214"/>
      <x:c r="N163" s="214"/>
      <x:c r="O163" s="214"/>
      <x:c r="P163" s="214"/>
      <x:c r="Q163" s="214"/>
      <x:c r="R163" s="214"/>
      <x:c r="S163" s="214"/>
      <x:c r="T163" s="214"/>
    </x:row>
    <x:row r="164">
      <x:c r="A164" s="214"/>
      <x:c r="B164" s="214"/>
      <x:c r="C164" s="214"/>
      <x:c r="D164" s="214"/>
      <x:c r="E164" s="214"/>
      <x:c r="F164" s="214"/>
      <x:c r="G164" s="214"/>
      <x:c r="H164" s="214"/>
      <x:c r="I164" s="214"/>
      <x:c r="J164" s="214"/>
      <x:c r="K164" s="214"/>
      <x:c r="L164" s="214"/>
      <x:c r="M164" s="214"/>
      <x:c r="N164" s="214"/>
      <x:c r="O164" s="214"/>
      <x:c r="P164" s="214"/>
      <x:c r="Q164" s="214"/>
      <x:c r="R164" s="214"/>
      <x:c r="S164" s="214"/>
      <x:c r="T164" s="214"/>
    </x:row>
    <x:row r="165">
      <x:c r="A165" s="214"/>
      <x:c r="B165" s="214"/>
      <x:c r="C165" s="214"/>
      <x:c r="D165" s="214"/>
      <x:c r="E165" s="214"/>
      <x:c r="F165" s="214"/>
      <x:c r="G165" s="214"/>
      <x:c r="H165" s="214"/>
      <x:c r="I165" s="214"/>
      <x:c r="J165" s="214"/>
      <x:c r="K165" s="214"/>
      <x:c r="L165" s="214"/>
      <x:c r="M165" s="214"/>
      <x:c r="N165" s="214"/>
      <x:c r="O165" s="214"/>
      <x:c r="P165" s="214"/>
      <x:c r="Q165" s="214"/>
      <x:c r="R165" s="214"/>
      <x:c r="S165" s="214"/>
      <x:c r="T165" s="214"/>
    </x:row>
    <x:row r="166">
      <x:c r="A166" s="214"/>
      <x:c r="B166" s="214"/>
      <x:c r="C166" s="214"/>
      <x:c r="D166" s="214"/>
      <x:c r="E166" s="214"/>
      <x:c r="F166" s="214"/>
      <x:c r="G166" s="214"/>
      <x:c r="H166" s="214"/>
      <x:c r="I166" s="214"/>
      <x:c r="J166" s="214"/>
      <x:c r="K166" s="214"/>
      <x:c r="L166" s="214"/>
      <x:c r="M166" s="214"/>
      <x:c r="N166" s="214"/>
      <x:c r="O166" s="214"/>
      <x:c r="P166" s="214"/>
      <x:c r="Q166" s="214"/>
      <x:c r="R166" s="214"/>
      <x:c r="S166" s="214"/>
      <x:c r="T166" s="214"/>
    </x:row>
    <x:row r="167">
      <x:c r="A167" s="214"/>
      <x:c r="B167" s="214"/>
      <x:c r="C167" s="214"/>
      <x:c r="D167" s="214"/>
      <x:c r="E167" s="214"/>
      <x:c r="F167" s="214"/>
      <x:c r="G167" s="214"/>
      <x:c r="H167" s="214"/>
      <x:c r="I167" s="214"/>
      <x:c r="J167" s="214"/>
      <x:c r="K167" s="214"/>
      <x:c r="L167" s="214"/>
      <x:c r="M167" s="214"/>
      <x:c r="N167" s="214"/>
      <x:c r="O167" s="214"/>
      <x:c r="P167" s="214"/>
      <x:c r="Q167" s="214"/>
      <x:c r="R167" s="214"/>
      <x:c r="S167" s="214"/>
      <x:c r="T167" s="214"/>
    </x:row>
    <x:row r="168">
      <x:c r="A168" s="214"/>
      <x:c r="B168" s="214"/>
      <x:c r="C168" s="214"/>
      <x:c r="D168" s="214"/>
      <x:c r="E168" s="214"/>
      <x:c r="F168" s="214"/>
      <x:c r="G168" s="214"/>
      <x:c r="H168" s="214"/>
      <x:c r="I168" s="214"/>
      <x:c r="J168" s="214"/>
      <x:c r="K168" s="214"/>
      <x:c r="L168" s="214"/>
      <x:c r="M168" s="214"/>
      <x:c r="N168" s="214"/>
      <x:c r="O168" s="214"/>
      <x:c r="P168" s="214"/>
      <x:c r="Q168" s="214"/>
      <x:c r="R168" s="214"/>
      <x:c r="S168" s="214"/>
      <x:c r="T168" s="214"/>
    </x:row>
    <x:row r="169">
      <x:c r="A169" s="214"/>
      <x:c r="B169" s="214"/>
      <x:c r="C169" s="214"/>
      <x:c r="D169" s="214"/>
      <x:c r="E169" s="214"/>
      <x:c r="F169" s="214"/>
      <x:c r="G169" s="214"/>
      <x:c r="H169" s="214"/>
      <x:c r="I169" s="214"/>
      <x:c r="J169" s="214"/>
      <x:c r="K169" s="214"/>
      <x:c r="L169" s="214"/>
      <x:c r="M169" s="214"/>
      <x:c r="N169" s="214"/>
      <x:c r="O169" s="214"/>
      <x:c r="P169" s="214"/>
      <x:c r="Q169" s="214"/>
      <x:c r="R169" s="214"/>
      <x:c r="S169" s="214"/>
      <x:c r="T169" s="214"/>
    </x:row>
    <x:row r="170">
      <x:c r="A170" s="214"/>
      <x:c r="B170" s="214"/>
      <x:c r="C170" s="214"/>
      <x:c r="D170" s="214"/>
      <x:c r="E170" s="214"/>
      <x:c r="F170" s="214"/>
      <x:c r="G170" s="214"/>
      <x:c r="H170" s="214"/>
      <x:c r="I170" s="214"/>
      <x:c r="J170" s="214"/>
      <x:c r="K170" s="214"/>
      <x:c r="L170" s="214"/>
      <x:c r="M170" s="214"/>
      <x:c r="N170" s="214"/>
      <x:c r="O170" s="214"/>
      <x:c r="P170" s="214"/>
      <x:c r="Q170" s="214"/>
      <x:c r="R170" s="214"/>
      <x:c r="S170" s="214"/>
      <x:c r="T170" s="214"/>
    </x:row>
    <x:row r="171">
      <x:c r="A171" s="214"/>
      <x:c r="B171" s="214"/>
      <x:c r="C171" s="214"/>
      <x:c r="D171" s="214"/>
      <x:c r="E171" s="214"/>
      <x:c r="F171" s="214"/>
      <x:c r="G171" s="214"/>
      <x:c r="H171" s="214"/>
      <x:c r="I171" s="214"/>
      <x:c r="J171" s="214"/>
      <x:c r="K171" s="214"/>
      <x:c r="L171" s="214"/>
      <x:c r="M171" s="214"/>
      <x:c r="N171" s="214"/>
      <x:c r="O171" s="214"/>
      <x:c r="P171" s="214"/>
      <x:c r="Q171" s="214"/>
      <x:c r="R171" s="214"/>
      <x:c r="S171" s="214"/>
      <x:c r="T171" s="214"/>
    </x:row>
    <x:row r="172">
      <x:c r="A172" s="214"/>
      <x:c r="B172" s="214"/>
      <x:c r="C172" s="214"/>
      <x:c r="D172" s="214"/>
      <x:c r="E172" s="214"/>
      <x:c r="F172" s="214"/>
      <x:c r="G172" s="214"/>
      <x:c r="H172" s="214"/>
      <x:c r="I172" s="214"/>
      <x:c r="J172" s="214"/>
      <x:c r="K172" s="214"/>
      <x:c r="L172" s="214"/>
      <x:c r="M172" s="214"/>
      <x:c r="N172" s="214"/>
      <x:c r="O172" s="214"/>
      <x:c r="P172" s="214"/>
      <x:c r="Q172" s="214"/>
      <x:c r="R172" s="214"/>
      <x:c r="S172" s="214"/>
      <x:c r="T172" s="214"/>
    </x:row>
    <x:row r="173">
      <x:c r="A173" s="214"/>
      <x:c r="B173" s="214"/>
      <x:c r="C173" s="214"/>
      <x:c r="D173" s="214"/>
      <x:c r="E173" s="214"/>
      <x:c r="F173" s="214"/>
      <x:c r="G173" s="214"/>
      <x:c r="H173" s="214"/>
      <x:c r="I173" s="214"/>
      <x:c r="J173" s="214"/>
      <x:c r="K173" s="214"/>
      <x:c r="L173" s="214"/>
      <x:c r="M173" s="214"/>
      <x:c r="N173" s="214"/>
      <x:c r="O173" s="214"/>
      <x:c r="P173" s="214"/>
      <x:c r="Q173" s="214"/>
      <x:c r="R173" s="214"/>
      <x:c r="S173" s="214"/>
      <x:c r="T173" s="214"/>
    </x:row>
    <x:row r="174">
      <x:c r="A174" s="214"/>
      <x:c r="B174" s="214"/>
      <x:c r="C174" s="214"/>
      <x:c r="D174" s="214"/>
      <x:c r="E174" s="214"/>
      <x:c r="F174" s="214"/>
      <x:c r="G174" s="214"/>
      <x:c r="H174" s="214"/>
      <x:c r="I174" s="214"/>
      <x:c r="J174" s="214"/>
      <x:c r="K174" s="214"/>
      <x:c r="L174" s="214"/>
      <x:c r="M174" s="214"/>
      <x:c r="N174" s="214"/>
      <x:c r="O174" s="214"/>
      <x:c r="P174" s="214"/>
      <x:c r="Q174" s="214"/>
      <x:c r="R174" s="214"/>
      <x:c r="S174" s="214"/>
      <x:c r="T174" s="214"/>
    </x:row>
    <x:row r="175">
      <x:c r="A175" s="214"/>
      <x:c r="B175" s="214"/>
      <x:c r="C175" s="214"/>
      <x:c r="D175" s="214"/>
      <x:c r="E175" s="214"/>
      <x:c r="F175" s="214"/>
      <x:c r="G175" s="214"/>
      <x:c r="H175" s="214"/>
      <x:c r="I175" s="214"/>
      <x:c r="J175" s="214"/>
      <x:c r="K175" s="214"/>
      <x:c r="L175" s="214"/>
      <x:c r="M175" s="214"/>
      <x:c r="N175" s="214"/>
      <x:c r="O175" s="214"/>
      <x:c r="P175" s="214"/>
      <x:c r="Q175" s="214"/>
      <x:c r="R175" s="214"/>
      <x:c r="S175" s="214"/>
      <x:c r="T175" s="214"/>
    </x:row>
    <x:row r="176">
      <x:c r="A176" s="214"/>
      <x:c r="B176" s="214"/>
      <x:c r="C176" s="214"/>
      <x:c r="D176" s="214"/>
      <x:c r="E176" s="214"/>
      <x:c r="F176" s="214"/>
      <x:c r="G176" s="214"/>
      <x:c r="H176" s="214"/>
      <x:c r="I176" s="214"/>
      <x:c r="J176" s="214"/>
      <x:c r="K176" s="214"/>
      <x:c r="L176" s="214"/>
      <x:c r="M176" s="214"/>
      <x:c r="N176" s="214"/>
      <x:c r="O176" s="214"/>
      <x:c r="P176" s="214"/>
      <x:c r="Q176" s="214"/>
      <x:c r="R176" s="214"/>
      <x:c r="S176" s="214"/>
      <x:c r="T176" s="214"/>
    </x:row>
    <x:row r="177">
      <x:c r="A177" s="214"/>
      <x:c r="B177" s="214"/>
      <x:c r="C177" s="214"/>
      <x:c r="D177" s="214"/>
      <x:c r="E177" s="214"/>
      <x:c r="F177" s="214"/>
      <x:c r="G177" s="214"/>
      <x:c r="H177" s="214"/>
      <x:c r="I177" s="214"/>
      <x:c r="J177" s="214"/>
      <x:c r="K177" s="214"/>
      <x:c r="L177" s="214"/>
      <x:c r="M177" s="214"/>
      <x:c r="N177" s="214"/>
      <x:c r="O177" s="214"/>
      <x:c r="P177" s="214"/>
      <x:c r="Q177" s="214"/>
      <x:c r="R177" s="214"/>
      <x:c r="S177" s="214"/>
      <x:c r="T177" s="214"/>
    </x:row>
    <x:row r="178">
      <x:c r="A178" s="214"/>
      <x:c r="B178" s="214"/>
      <x:c r="C178" s="214"/>
      <x:c r="D178" s="214"/>
      <x:c r="E178" s="214"/>
      <x:c r="F178" s="214"/>
      <x:c r="G178" s="214"/>
      <x:c r="H178" s="214"/>
      <x:c r="I178" s="214"/>
      <x:c r="J178" s="214"/>
      <x:c r="K178" s="214"/>
      <x:c r="L178" s="214"/>
      <x:c r="M178" s="214"/>
      <x:c r="N178" s="214"/>
      <x:c r="O178" s="214"/>
      <x:c r="P178" s="214"/>
      <x:c r="Q178" s="214"/>
      <x:c r="R178" s="214"/>
      <x:c r="S178" s="214"/>
      <x:c r="T178" s="214"/>
    </x:row>
    <x:row r="179">
      <x:c r="A179" s="214"/>
      <x:c r="B179" s="214"/>
      <x:c r="C179" s="214"/>
      <x:c r="D179" s="214"/>
      <x:c r="E179" s="214"/>
      <x:c r="F179" s="214"/>
      <x:c r="G179" s="214"/>
      <x:c r="H179" s="214"/>
      <x:c r="I179" s="214"/>
      <x:c r="J179" s="214"/>
      <x:c r="K179" s="214"/>
      <x:c r="L179" s="214"/>
      <x:c r="M179" s="214"/>
      <x:c r="N179" s="214"/>
      <x:c r="O179" s="214"/>
      <x:c r="P179" s="214"/>
      <x:c r="Q179" s="214"/>
      <x:c r="R179" s="214"/>
      <x:c r="S179" s="214"/>
      <x:c r="T179" s="214"/>
    </x:row>
    <x:row r="180">
      <x:c r="A180" s="214"/>
      <x:c r="B180" s="214"/>
      <x:c r="C180" s="214"/>
      <x:c r="D180" s="214"/>
      <x:c r="E180" s="214"/>
      <x:c r="F180" s="214"/>
      <x:c r="G180" s="214"/>
      <x:c r="H180" s="214"/>
      <x:c r="I180" s="214"/>
      <x:c r="J180" s="214"/>
      <x:c r="K180" s="214"/>
      <x:c r="L180" s="214"/>
      <x:c r="M180" s="214"/>
      <x:c r="N180" s="214"/>
      <x:c r="O180" s="214"/>
      <x:c r="P180" s="214"/>
      <x:c r="Q180" s="214"/>
      <x:c r="R180" s="214"/>
      <x:c r="S180" s="214"/>
      <x:c r="T180" s="214"/>
    </x:row>
    <x:row r="181">
      <x:c r="A181" s="214"/>
      <x:c r="B181" s="214"/>
      <x:c r="C181" s="214"/>
      <x:c r="D181" s="214"/>
      <x:c r="E181" s="214"/>
      <x:c r="F181" s="214"/>
      <x:c r="G181" s="214"/>
      <x:c r="H181" s="214"/>
      <x:c r="I181" s="214"/>
      <x:c r="J181" s="214"/>
      <x:c r="K181" s="214"/>
      <x:c r="L181" s="214"/>
      <x:c r="M181" s="214"/>
      <x:c r="N181" s="214"/>
      <x:c r="O181" s="214"/>
      <x:c r="P181" s="214"/>
      <x:c r="Q181" s="214"/>
      <x:c r="R181" s="214"/>
      <x:c r="S181" s="214"/>
      <x:c r="T181" s="214"/>
    </x:row>
    <x:row r="182">
      <x:c r="A182" s="214"/>
      <x:c r="B182" s="214"/>
      <x:c r="C182" s="214"/>
      <x:c r="D182" s="214"/>
      <x:c r="E182" s="214"/>
      <x:c r="F182" s="214"/>
      <x:c r="G182" s="214"/>
      <x:c r="H182" s="214"/>
      <x:c r="I182" s="214"/>
      <x:c r="J182" s="214"/>
      <x:c r="K182" s="214"/>
      <x:c r="L182" s="214"/>
      <x:c r="M182" s="214"/>
      <x:c r="N182" s="214"/>
      <x:c r="O182" s="214"/>
      <x:c r="P182" s="214"/>
      <x:c r="Q182" s="214"/>
      <x:c r="R182" s="214"/>
      <x:c r="S182" s="214"/>
      <x:c r="T182" s="214"/>
    </x:row>
    <x:row r="183">
      <x:c r="A183" s="214"/>
      <x:c r="B183" s="214"/>
      <x:c r="C183" s="214"/>
      <x:c r="D183" s="214"/>
      <x:c r="E183" s="214"/>
      <x:c r="F183" s="214"/>
      <x:c r="G183" s="214"/>
      <x:c r="H183" s="214"/>
      <x:c r="I183" s="214"/>
      <x:c r="J183" s="214"/>
      <x:c r="K183" s="214"/>
      <x:c r="L183" s="214"/>
      <x:c r="M183" s="214"/>
      <x:c r="N183" s="214"/>
      <x:c r="O183" s="214"/>
      <x:c r="P183" s="214"/>
      <x:c r="Q183" s="214"/>
      <x:c r="R183" s="214"/>
      <x:c r="S183" s="214"/>
      <x:c r="T183" s="214"/>
    </x:row>
    <x:row r="184">
      <x:c r="A184" s="214"/>
      <x:c r="B184" s="214"/>
      <x:c r="C184" s="214"/>
      <x:c r="D184" s="214"/>
      <x:c r="E184" s="214"/>
      <x:c r="F184" s="214"/>
      <x:c r="G184" s="214"/>
      <x:c r="H184" s="214"/>
      <x:c r="I184" s="214"/>
      <x:c r="J184" s="214"/>
      <x:c r="K184" s="214"/>
      <x:c r="L184" s="214"/>
      <x:c r="M184" s="214"/>
      <x:c r="N184" s="214"/>
      <x:c r="O184" s="214"/>
      <x:c r="P184" s="214"/>
      <x:c r="Q184" s="214"/>
      <x:c r="R184" s="214"/>
      <x:c r="S184" s="214"/>
      <x:c r="T184" s="214"/>
    </x:row>
    <x:row r="185">
      <x:c r="A185" s="214"/>
      <x:c r="B185" s="214"/>
      <x:c r="C185" s="214"/>
      <x:c r="D185" s="214"/>
      <x:c r="E185" s="214"/>
      <x:c r="F185" s="214"/>
      <x:c r="G185" s="214"/>
      <x:c r="H185" s="214"/>
      <x:c r="I185" s="214"/>
      <x:c r="J185" s="214"/>
      <x:c r="K185" s="214"/>
      <x:c r="L185" s="214"/>
      <x:c r="M185" s="214"/>
      <x:c r="N185" s="214"/>
      <x:c r="O185" s="214"/>
      <x:c r="P185" s="214"/>
      <x:c r="Q185" s="214"/>
      <x:c r="R185" s="214"/>
      <x:c r="S185" s="214"/>
      <x:c r="T185" s="214"/>
    </x:row>
    <x:row r="186">
      <x:c r="A186" s="214"/>
      <x:c r="B186" s="214"/>
      <x:c r="C186" s="214"/>
      <x:c r="D186" s="214"/>
      <x:c r="E186" s="214"/>
      <x:c r="F186" s="214"/>
      <x:c r="G186" s="214"/>
      <x:c r="H186" s="214"/>
      <x:c r="I186" s="214"/>
      <x:c r="J186" s="214"/>
      <x:c r="K186" s="214"/>
      <x:c r="L186" s="214"/>
      <x:c r="M186" s="214"/>
      <x:c r="N186" s="214"/>
      <x:c r="O186" s="214"/>
      <x:c r="P186" s="214"/>
      <x:c r="Q186" s="214"/>
      <x:c r="R186" s="214"/>
      <x:c r="S186" s="214"/>
      <x:c r="T186" s="214"/>
    </x:row>
    <x:row r="187">
      <x:c r="A187" s="214"/>
      <x:c r="B187" s="214"/>
      <x:c r="C187" s="214"/>
      <x:c r="D187" s="214"/>
      <x:c r="E187" s="214"/>
      <x:c r="F187" s="214"/>
      <x:c r="G187" s="214"/>
      <x:c r="H187" s="214"/>
      <x:c r="I187" s="214"/>
      <x:c r="J187" s="214"/>
      <x:c r="K187" s="214"/>
      <x:c r="L187" s="214"/>
      <x:c r="M187" s="214"/>
      <x:c r="N187" s="214"/>
      <x:c r="O187" s="214"/>
      <x:c r="P187" s="214"/>
      <x:c r="Q187" s="214"/>
      <x:c r="R187" s="214"/>
      <x:c r="S187" s="214"/>
      <x:c r="T187" s="214"/>
    </x:row>
    <x:row r="188">
      <x:c r="A188" s="214"/>
      <x:c r="B188" s="214"/>
      <x:c r="C188" s="214"/>
      <x:c r="D188" s="214"/>
      <x:c r="E188" s="214"/>
      <x:c r="F188" s="214"/>
      <x:c r="G188" s="214"/>
      <x:c r="H188" s="214"/>
      <x:c r="I188" s="214"/>
      <x:c r="J188" s="214"/>
      <x:c r="K188" s="214"/>
      <x:c r="L188" s="214"/>
      <x:c r="M188" s="214"/>
      <x:c r="N188" s="214"/>
      <x:c r="O188" s="214"/>
      <x:c r="P188" s="214"/>
      <x:c r="Q188" s="214"/>
      <x:c r="R188" s="214"/>
      <x:c r="S188" s="214"/>
      <x:c r="T188" s="214"/>
    </x:row>
    <x:row r="189">
      <x:c r="A189" s="214"/>
      <x:c r="B189" s="214"/>
      <x:c r="C189" s="214"/>
      <x:c r="D189" s="214"/>
      <x:c r="E189" s="214"/>
      <x:c r="F189" s="214"/>
      <x:c r="G189" s="214"/>
      <x:c r="H189" s="214"/>
      <x:c r="I189" s="214"/>
      <x:c r="J189" s="214"/>
      <x:c r="K189" s="214"/>
      <x:c r="L189" s="214"/>
      <x:c r="M189" s="214"/>
      <x:c r="N189" s="214"/>
      <x:c r="O189" s="214"/>
      <x:c r="P189" s="214"/>
      <x:c r="Q189" s="214"/>
      <x:c r="R189" s="214"/>
      <x:c r="S189" s="214"/>
      <x:c r="T189" s="214"/>
    </x:row>
    <x:row r="190">
      <x:c r="A190" s="214"/>
      <x:c r="B190" s="214"/>
      <x:c r="C190" s="214"/>
      <x:c r="D190" s="214"/>
      <x:c r="E190" s="214"/>
      <x:c r="F190" s="214"/>
      <x:c r="G190" s="214"/>
      <x:c r="H190" s="214"/>
      <x:c r="I190" s="214"/>
      <x:c r="J190" s="214"/>
      <x:c r="K190" s="214"/>
      <x:c r="L190" s="214"/>
      <x:c r="M190" s="214"/>
      <x:c r="N190" s="214"/>
      <x:c r="O190" s="214"/>
      <x:c r="P190" s="214"/>
      <x:c r="Q190" s="214"/>
      <x:c r="R190" s="214"/>
      <x:c r="S190" s="214"/>
      <x:c r="T190" s="214"/>
    </x:row>
    <x:row r="191">
      <x:c r="A191" s="214"/>
      <x:c r="B191" s="214"/>
      <x:c r="C191" s="214"/>
      <x:c r="D191" s="214"/>
      <x:c r="E191" s="214"/>
      <x:c r="F191" s="214"/>
      <x:c r="G191" s="214"/>
      <x:c r="H191" s="214"/>
      <x:c r="I191" s="214"/>
      <x:c r="J191" s="214"/>
      <x:c r="K191" s="214"/>
      <x:c r="L191" s="214"/>
      <x:c r="M191" s="214"/>
      <x:c r="N191" s="214"/>
      <x:c r="O191" s="214"/>
      <x:c r="P191" s="214"/>
      <x:c r="Q191" s="214"/>
      <x:c r="R191" s="214"/>
      <x:c r="S191" s="214"/>
      <x:c r="T191" s="214"/>
    </x:row>
    <x:row r="192">
      <x:c r="A192" s="214"/>
      <x:c r="B192" s="214"/>
      <x:c r="C192" s="214"/>
      <x:c r="D192" s="214"/>
      <x:c r="E192" s="214"/>
      <x:c r="F192" s="214"/>
      <x:c r="G192" s="214"/>
      <x:c r="H192" s="214"/>
      <x:c r="I192" s="214"/>
      <x:c r="J192" s="214"/>
      <x:c r="K192" s="214"/>
      <x:c r="L192" s="214"/>
      <x:c r="M192" s="214"/>
      <x:c r="N192" s="214"/>
      <x:c r="O192" s="214"/>
      <x:c r="P192" s="214"/>
      <x:c r="Q192" s="214"/>
      <x:c r="R192" s="214"/>
      <x:c r="S192" s="214"/>
      <x:c r="T192" s="214"/>
    </x:row>
    <x:row r="193">
      <x:c r="A193" s="214"/>
      <x:c r="B193" s="214"/>
      <x:c r="C193" s="214"/>
      <x:c r="D193" s="214"/>
      <x:c r="E193" s="214"/>
      <x:c r="F193" s="214"/>
      <x:c r="G193" s="214"/>
      <x:c r="H193" s="214"/>
      <x:c r="I193" s="214"/>
      <x:c r="J193" s="214"/>
      <x:c r="K193" s="214"/>
      <x:c r="L193" s="214"/>
      <x:c r="M193" s="214"/>
      <x:c r="N193" s="214"/>
      <x:c r="O193" s="214"/>
      <x:c r="P193" s="214"/>
      <x:c r="Q193" s="214"/>
      <x:c r="R193" s="214"/>
      <x:c r="S193" s="214"/>
      <x:c r="T193" s="214"/>
    </x:row>
    <x:row r="194">
      <x:c r="A194" s="214"/>
      <x:c r="B194" s="214"/>
      <x:c r="C194" s="214"/>
      <x:c r="D194" s="214"/>
      <x:c r="E194" s="214"/>
      <x:c r="F194" s="214"/>
      <x:c r="G194" s="214"/>
      <x:c r="H194" s="214"/>
      <x:c r="I194" s="214"/>
      <x:c r="J194" s="214"/>
      <x:c r="K194" s="214"/>
      <x:c r="L194" s="214"/>
      <x:c r="M194" s="214"/>
      <x:c r="N194" s="214"/>
      <x:c r="O194" s="214"/>
      <x:c r="P194" s="214"/>
      <x:c r="Q194" s="214"/>
      <x:c r="R194" s="214"/>
      <x:c r="S194" s="214"/>
      <x:c r="T194" s="214"/>
    </x:row>
    <x:row r="195">
      <x:c r="A195" s="214"/>
      <x:c r="B195" s="214"/>
      <x:c r="C195" s="214"/>
      <x:c r="D195" s="214"/>
      <x:c r="E195" s="214"/>
      <x:c r="F195" s="214"/>
      <x:c r="G195" s="214"/>
      <x:c r="H195" s="214"/>
      <x:c r="I195" s="214"/>
      <x:c r="J195" s="214"/>
      <x:c r="K195" s="214"/>
      <x:c r="L195" s="214"/>
      <x:c r="M195" s="214"/>
      <x:c r="N195" s="214"/>
      <x:c r="O195" s="214"/>
      <x:c r="P195" s="214"/>
      <x:c r="Q195" s="214"/>
      <x:c r="R195" s="214"/>
      <x:c r="S195" s="214"/>
      <x:c r="T195" s="214"/>
    </x:row>
    <x:row r="196">
      <x:c r="A196" s="214"/>
      <x:c r="B196" s="214"/>
      <x:c r="C196" s="214"/>
      <x:c r="D196" s="214"/>
      <x:c r="E196" s="214"/>
      <x:c r="F196" s="214"/>
      <x:c r="G196" s="214"/>
      <x:c r="H196" s="214"/>
      <x:c r="I196" s="214"/>
      <x:c r="J196" s="214"/>
      <x:c r="K196" s="214"/>
      <x:c r="L196" s="214"/>
      <x:c r="M196" s="214"/>
      <x:c r="N196" s="214"/>
      <x:c r="O196" s="214"/>
      <x:c r="P196" s="214"/>
      <x:c r="Q196" s="214"/>
      <x:c r="R196" s="214"/>
      <x:c r="S196" s="214"/>
      <x:c r="T196" s="214"/>
    </x:row>
    <x:row r="197">
      <x:c r="A197" s="214"/>
      <x:c r="B197" s="214"/>
      <x:c r="C197" s="214"/>
      <x:c r="D197" s="214"/>
      <x:c r="E197" s="214"/>
      <x:c r="F197" s="214"/>
      <x:c r="G197" s="214"/>
      <x:c r="H197" s="214"/>
      <x:c r="I197" s="214"/>
      <x:c r="J197" s="214"/>
      <x:c r="K197" s="214"/>
      <x:c r="L197" s="214"/>
      <x:c r="M197" s="214"/>
      <x:c r="N197" s="214"/>
      <x:c r="O197" s="214"/>
      <x:c r="P197" s="214"/>
      <x:c r="Q197" s="214"/>
      <x:c r="R197" s="214"/>
      <x:c r="S197" s="214"/>
      <x:c r="T197" s="214"/>
    </x:row>
    <x:row r="198">
      <x:c r="A198" s="214"/>
      <x:c r="B198" s="214"/>
      <x:c r="C198" s="214"/>
      <x:c r="D198" s="214"/>
      <x:c r="E198" s="214"/>
      <x:c r="F198" s="214"/>
      <x:c r="G198" s="214"/>
      <x:c r="H198" s="214"/>
      <x:c r="I198" s="214"/>
      <x:c r="J198" s="214"/>
      <x:c r="K198" s="214"/>
      <x:c r="L198" s="214"/>
      <x:c r="M198" s="214"/>
      <x:c r="N198" s="214"/>
      <x:c r="O198" s="214"/>
      <x:c r="P198" s="214"/>
      <x:c r="Q198" s="214"/>
      <x:c r="R198" s="214"/>
      <x:c r="S198" s="214"/>
      <x:c r="T198" s="214"/>
    </x:row>
    <x:row r="199">
      <x:c r="A199" s="214"/>
      <x:c r="B199" s="214"/>
      <x:c r="C199" s="214"/>
      <x:c r="D199" s="214"/>
      <x:c r="E199" s="214"/>
      <x:c r="F199" s="214"/>
      <x:c r="G199" s="214"/>
      <x:c r="H199" s="214"/>
      <x:c r="I199" s="214"/>
      <x:c r="J199" s="214"/>
      <x:c r="K199" s="214"/>
      <x:c r="L199" s="214"/>
      <x:c r="M199" s="214"/>
      <x:c r="N199" s="214"/>
      <x:c r="O199" s="214"/>
      <x:c r="P199" s="214"/>
      <x:c r="Q199" s="214"/>
      <x:c r="R199" s="214"/>
      <x:c r="S199" s="214"/>
      <x:c r="T199" s="214"/>
    </x:row>
    <x:row r="200">
      <x:c r="A200" s="214"/>
      <x:c r="B200" s="214"/>
      <x:c r="C200" s="214"/>
      <x:c r="D200" s="214"/>
      <x:c r="E200" s="214"/>
      <x:c r="F200" s="214"/>
      <x:c r="G200" s="214"/>
      <x:c r="H200" s="214"/>
      <x:c r="I200" s="214"/>
      <x:c r="J200" s="214"/>
      <x:c r="K200" s="214"/>
      <x:c r="L200" s="214"/>
      <x:c r="M200" s="214"/>
      <x:c r="N200" s="214"/>
      <x:c r="O200" s="214"/>
      <x:c r="P200" s="214"/>
      <x:c r="Q200" s="214"/>
      <x:c r="R200" s="214"/>
      <x:c r="S200" s="214"/>
      <x:c r="T200" s="214"/>
    </x:row>
    <x:row r="201">
      <x:c r="A201" s="214"/>
      <x:c r="B201" s="214"/>
      <x:c r="C201" s="214"/>
      <x:c r="D201" s="214"/>
      <x:c r="E201" s="214"/>
      <x:c r="F201" s="214"/>
      <x:c r="G201" s="214"/>
      <x:c r="H201" s="214"/>
      <x:c r="I201" s="214"/>
      <x:c r="J201" s="214"/>
      <x:c r="K201" s="214"/>
      <x:c r="L201" s="214"/>
      <x:c r="M201" s="214"/>
      <x:c r="N201" s="214"/>
      <x:c r="O201" s="214"/>
      <x:c r="P201" s="214"/>
      <x:c r="Q201" s="214"/>
      <x:c r="R201" s="214"/>
      <x:c r="S201" s="214"/>
      <x:c r="T201" s="214"/>
    </x:row>
    <x:row r="202">
      <x:c r="A202" s="214"/>
      <x:c r="B202" s="214"/>
      <x:c r="C202" s="214"/>
      <x:c r="D202" s="214"/>
      <x:c r="E202" s="214"/>
      <x:c r="F202" s="214"/>
      <x:c r="G202" s="214"/>
      <x:c r="H202" s="214"/>
      <x:c r="I202" s="214"/>
      <x:c r="J202" s="214"/>
      <x:c r="K202" s="214"/>
      <x:c r="L202" s="214"/>
      <x:c r="M202" s="214"/>
      <x:c r="N202" s="214"/>
      <x:c r="O202" s="214"/>
      <x:c r="P202" s="214"/>
      <x:c r="Q202" s="214"/>
      <x:c r="R202" s="214"/>
      <x:c r="S202" s="214"/>
      <x:c r="T202" s="214"/>
    </x:row>
    <x:row r="203">
      <x:c r="A203" s="214"/>
      <x:c r="B203" s="214"/>
      <x:c r="C203" s="214"/>
      <x:c r="D203" s="214"/>
      <x:c r="E203" s="214"/>
      <x:c r="F203" s="214"/>
      <x:c r="G203" s="214"/>
      <x:c r="H203" s="214"/>
      <x:c r="I203" s="214"/>
      <x:c r="J203" s="214"/>
      <x:c r="K203" s="214"/>
      <x:c r="L203" s="214"/>
      <x:c r="M203" s="214"/>
      <x:c r="N203" s="214"/>
      <x:c r="O203" s="214"/>
      <x:c r="P203" s="214"/>
      <x:c r="Q203" s="214"/>
      <x:c r="R203" s="214"/>
      <x:c r="S203" s="214"/>
      <x:c r="T203" s="214"/>
    </x:row>
    <x:row r="204">
      <x:c r="A204" s="214"/>
      <x:c r="B204" s="214"/>
      <x:c r="C204" s="214"/>
      <x:c r="D204" s="214"/>
      <x:c r="E204" s="214"/>
      <x:c r="F204" s="214"/>
      <x:c r="G204" s="214"/>
      <x:c r="H204" s="214"/>
      <x:c r="I204" s="214"/>
      <x:c r="J204" s="214"/>
      <x:c r="K204" s="214"/>
      <x:c r="L204" s="214"/>
      <x:c r="M204" s="214"/>
      <x:c r="N204" s="214"/>
      <x:c r="O204" s="214"/>
      <x:c r="P204" s="214"/>
      <x:c r="Q204" s="214"/>
      <x:c r="R204" s="214"/>
      <x:c r="S204" s="214"/>
      <x:c r="T204" s="214"/>
    </x:row>
    <x:row r="205">
      <x:c r="A205" s="214"/>
      <x:c r="B205" s="214"/>
      <x:c r="C205" s="214"/>
      <x:c r="D205" s="214"/>
      <x:c r="E205" s="214"/>
      <x:c r="F205" s="214"/>
      <x:c r="G205" s="214"/>
      <x:c r="H205" s="214"/>
      <x:c r="I205" s="214"/>
      <x:c r="J205" s="214"/>
      <x:c r="K205" s="214"/>
      <x:c r="L205" s="214"/>
      <x:c r="M205" s="214"/>
      <x:c r="N205" s="214"/>
      <x:c r="O205" s="214"/>
      <x:c r="P205" s="214"/>
      <x:c r="Q205" s="214"/>
      <x:c r="R205" s="214"/>
      <x:c r="S205" s="214"/>
      <x:c r="T205" s="214"/>
    </x:row>
    <x:row r="206">
      <x:c r="A206" s="214"/>
      <x:c r="B206" s="214"/>
      <x:c r="C206" s="214"/>
      <x:c r="D206" s="214"/>
      <x:c r="E206" s="214"/>
      <x:c r="F206" s="214"/>
      <x:c r="G206" s="214"/>
      <x:c r="H206" s="214"/>
      <x:c r="I206" s="214"/>
      <x:c r="J206" s="214"/>
      <x:c r="K206" s="214"/>
      <x:c r="L206" s="214"/>
      <x:c r="M206" s="214"/>
      <x:c r="N206" s="214"/>
      <x:c r="O206" s="214"/>
      <x:c r="P206" s="214"/>
      <x:c r="Q206" s="214"/>
      <x:c r="R206" s="214"/>
      <x:c r="S206" s="214"/>
      <x:c r="T206" s="214"/>
    </x:row>
    <x:row r="207">
      <x:c r="A207" s="214"/>
      <x:c r="B207" s="214"/>
      <x:c r="C207" s="214"/>
      <x:c r="D207" s="214"/>
      <x:c r="E207" s="214"/>
      <x:c r="F207" s="214"/>
      <x:c r="G207" s="214"/>
      <x:c r="H207" s="214"/>
      <x:c r="I207" s="214"/>
      <x:c r="J207" s="214"/>
      <x:c r="K207" s="214"/>
      <x:c r="L207" s="214"/>
      <x:c r="M207" s="214"/>
      <x:c r="N207" s="214"/>
      <x:c r="O207" s="214"/>
      <x:c r="P207" s="214"/>
      <x:c r="Q207" s="214"/>
      <x:c r="R207" s="214"/>
      <x:c r="S207" s="214"/>
      <x:c r="T207" s="214"/>
    </x:row>
    <x:row r="208">
      <x:c r="A208" s="214"/>
      <x:c r="B208" s="214"/>
      <x:c r="C208" s="214"/>
      <x:c r="D208" s="214"/>
      <x:c r="E208" s="214"/>
      <x:c r="F208" s="214"/>
      <x:c r="G208" s="214"/>
      <x:c r="H208" s="214"/>
      <x:c r="I208" s="214"/>
      <x:c r="J208" s="214"/>
      <x:c r="K208" s="214"/>
      <x:c r="L208" s="214"/>
      <x:c r="M208" s="214"/>
      <x:c r="N208" s="214"/>
      <x:c r="O208" s="214"/>
      <x:c r="P208" s="214"/>
      <x:c r="Q208" s="214"/>
      <x:c r="R208" s="214"/>
      <x:c r="S208" s="214"/>
      <x:c r="T208" s="214"/>
    </x:row>
    <x:row r="209">
      <x:c r="A209" s="214"/>
      <x:c r="B209" s="214"/>
      <x:c r="C209" s="214"/>
      <x:c r="D209" s="214"/>
      <x:c r="E209" s="214"/>
      <x:c r="F209" s="214"/>
      <x:c r="G209" s="214"/>
      <x:c r="H209" s="214"/>
      <x:c r="I209" s="214"/>
      <x:c r="J209" s="214"/>
      <x:c r="K209" s="214"/>
      <x:c r="L209" s="214"/>
      <x:c r="M209" s="214"/>
      <x:c r="N209" s="214"/>
      <x:c r="O209" s="214"/>
      <x:c r="P209" s="214"/>
      <x:c r="Q209" s="214"/>
      <x:c r="R209" s="214"/>
      <x:c r="S209" s="214"/>
      <x:c r="T209" s="214"/>
    </x:row>
    <x:row r="210">
      <x:c r="A210" s="214"/>
      <x:c r="B210" s="214"/>
      <x:c r="C210" s="214"/>
      <x:c r="D210" s="214"/>
      <x:c r="E210" s="214"/>
      <x:c r="F210" s="214"/>
      <x:c r="G210" s="214"/>
      <x:c r="H210" s="214"/>
      <x:c r="I210" s="214"/>
      <x:c r="J210" s="214"/>
      <x:c r="K210" s="214"/>
      <x:c r="L210" s="214"/>
      <x:c r="M210" s="214"/>
      <x:c r="N210" s="214"/>
      <x:c r="O210" s="214"/>
      <x:c r="P210" s="214"/>
      <x:c r="Q210" s="214"/>
      <x:c r="R210" s="214"/>
      <x:c r="S210" s="214"/>
      <x:c r="T210" s="214"/>
    </x:row>
    <x:row r="211">
      <x:c r="A211" s="214"/>
      <x:c r="B211" s="214"/>
      <x:c r="C211" s="214"/>
      <x:c r="D211" s="214"/>
      <x:c r="E211" s="214"/>
      <x:c r="F211" s="214"/>
      <x:c r="G211" s="214"/>
      <x:c r="H211" s="214"/>
      <x:c r="I211" s="214"/>
      <x:c r="J211" s="214"/>
      <x:c r="K211" s="214"/>
      <x:c r="L211" s="214"/>
      <x:c r="M211" s="214"/>
      <x:c r="N211" s="214"/>
      <x:c r="O211" s="214"/>
      <x:c r="P211" s="214"/>
      <x:c r="Q211" s="214"/>
      <x:c r="R211" s="214"/>
      <x:c r="S211" s="214"/>
      <x:c r="T211" s="214"/>
    </x:row>
    <x:row r="212">
      <x:c r="A212" s="214"/>
      <x:c r="B212" s="214"/>
      <x:c r="C212" s="214"/>
      <x:c r="D212" s="214"/>
      <x:c r="E212" s="214"/>
      <x:c r="F212" s="214"/>
      <x:c r="G212" s="214"/>
      <x:c r="H212" s="214"/>
      <x:c r="I212" s="214"/>
      <x:c r="J212" s="214"/>
      <x:c r="K212" s="214"/>
      <x:c r="L212" s="214"/>
      <x:c r="M212" s="214"/>
      <x:c r="N212" s="214"/>
      <x:c r="O212" s="214"/>
      <x:c r="P212" s="214"/>
      <x:c r="Q212" s="214"/>
      <x:c r="R212" s="214"/>
      <x:c r="S212" s="214"/>
      <x:c r="T212" s="214"/>
    </x:row>
    <x:row r="213">
      <x:c r="A213" s="214"/>
      <x:c r="B213" s="214"/>
      <x:c r="C213" s="214"/>
      <x:c r="D213" s="214"/>
      <x:c r="E213" s="214"/>
      <x:c r="F213" s="214"/>
      <x:c r="G213" s="214"/>
      <x:c r="H213" s="214"/>
      <x:c r="I213" s="214"/>
      <x:c r="J213" s="214"/>
      <x:c r="K213" s="214"/>
      <x:c r="L213" s="214"/>
      <x:c r="M213" s="214"/>
      <x:c r="N213" s="214"/>
      <x:c r="O213" s="214"/>
      <x:c r="P213" s="214"/>
      <x:c r="Q213" s="214"/>
      <x:c r="R213" s="214"/>
      <x:c r="S213" s="214"/>
      <x:c r="T213" s="214"/>
    </x:row>
    <x:row r="214">
      <x:c r="A214" s="214"/>
      <x:c r="B214" s="214"/>
      <x:c r="C214" s="214"/>
      <x:c r="D214" s="214"/>
      <x:c r="E214" s="214"/>
      <x:c r="F214" s="214"/>
      <x:c r="G214" s="214"/>
      <x:c r="H214" s="214"/>
      <x:c r="I214" s="214"/>
      <x:c r="J214" s="214"/>
      <x:c r="K214" s="214"/>
      <x:c r="L214" s="214"/>
      <x:c r="M214" s="214"/>
      <x:c r="N214" s="214"/>
      <x:c r="O214" s="214"/>
      <x:c r="P214" s="214"/>
      <x:c r="Q214" s="214"/>
      <x:c r="R214" s="214"/>
      <x:c r="S214" s="214"/>
      <x:c r="T214" s="214"/>
    </x:row>
    <x:row r="215">
      <x:c r="A215" s="214"/>
      <x:c r="B215" s="214"/>
      <x:c r="C215" s="214"/>
      <x:c r="D215" s="214"/>
      <x:c r="E215" s="214"/>
      <x:c r="F215" s="214"/>
      <x:c r="G215" s="214"/>
      <x:c r="H215" s="214"/>
      <x:c r="I215" s="214"/>
      <x:c r="J215" s="214"/>
      <x:c r="K215" s="214"/>
      <x:c r="L215" s="214"/>
      <x:c r="M215" s="214"/>
      <x:c r="N215" s="214"/>
      <x:c r="O215" s="214"/>
      <x:c r="P215" s="214"/>
      <x:c r="Q215" s="214"/>
      <x:c r="R215" s="214"/>
      <x:c r="S215" s="214"/>
      <x:c r="T215" s="214"/>
    </x:row>
    <x:row r="216">
      <x:c r="A216" s="214"/>
      <x:c r="B216" s="214"/>
      <x:c r="C216" s="214"/>
      <x:c r="D216" s="214"/>
      <x:c r="E216" s="214"/>
      <x:c r="F216" s="214"/>
      <x:c r="G216" s="214"/>
      <x:c r="H216" s="214"/>
      <x:c r="I216" s="214"/>
      <x:c r="J216" s="214"/>
      <x:c r="K216" s="214"/>
      <x:c r="L216" s="214"/>
      <x:c r="M216" s="214"/>
      <x:c r="N216" s="214"/>
      <x:c r="O216" s="214"/>
      <x:c r="P216" s="214"/>
      <x:c r="Q216" s="214"/>
      <x:c r="R216" s="214"/>
      <x:c r="S216" s="214"/>
      <x:c r="T216" s="214"/>
    </x:row>
    <x:row r="217">
      <x:c r="A217" s="214"/>
      <x:c r="B217" s="214"/>
      <x:c r="C217" s="214"/>
      <x:c r="D217" s="214"/>
      <x:c r="E217" s="214"/>
      <x:c r="F217" s="214"/>
      <x:c r="G217" s="214"/>
      <x:c r="H217" s="214"/>
      <x:c r="I217" s="214"/>
      <x:c r="J217" s="214"/>
      <x:c r="K217" s="214"/>
      <x:c r="L217" s="214"/>
      <x:c r="M217" s="214"/>
      <x:c r="N217" s="214"/>
      <x:c r="O217" s="214"/>
      <x:c r="P217" s="214"/>
      <x:c r="Q217" s="214"/>
      <x:c r="R217" s="214"/>
      <x:c r="S217" s="214"/>
      <x:c r="T217" s="214"/>
    </x:row>
    <x:row r="218">
      <x:c r="A218" s="214"/>
      <x:c r="B218" s="214"/>
      <x:c r="C218" s="214"/>
      <x:c r="D218" s="214"/>
      <x:c r="E218" s="214"/>
      <x:c r="F218" s="214"/>
      <x:c r="G218" s="214"/>
      <x:c r="H218" s="214"/>
      <x:c r="I218" s="214"/>
      <x:c r="J218" s="214"/>
      <x:c r="K218" s="214"/>
      <x:c r="L218" s="214"/>
      <x:c r="M218" s="214"/>
      <x:c r="N218" s="214"/>
      <x:c r="O218" s="214"/>
      <x:c r="P218" s="214"/>
      <x:c r="Q218" s="214"/>
      <x:c r="R218" s="214"/>
      <x:c r="S218" s="214"/>
      <x:c r="T218" s="214"/>
    </x:row>
    <x:row r="219">
      <x:c r="A219" s="214"/>
      <x:c r="B219" s="214"/>
      <x:c r="C219" s="214"/>
      <x:c r="D219" s="214"/>
      <x:c r="E219" s="214"/>
      <x:c r="F219" s="214"/>
      <x:c r="G219" s="214"/>
      <x:c r="H219" s="214"/>
      <x:c r="I219" s="214"/>
      <x:c r="J219" s="214"/>
      <x:c r="K219" s="214"/>
      <x:c r="L219" s="214"/>
      <x:c r="M219" s="214"/>
      <x:c r="N219" s="214"/>
      <x:c r="O219" s="214"/>
      <x:c r="P219" s="214"/>
      <x:c r="Q219" s="214"/>
      <x:c r="R219" s="214"/>
      <x:c r="S219" s="214"/>
      <x:c r="T219" s="214"/>
    </x:row>
    <x:row r="220">
      <x:c r="A220" s="214"/>
      <x:c r="B220" s="214"/>
      <x:c r="C220" s="214"/>
      <x:c r="D220" s="214"/>
      <x:c r="E220" s="214"/>
      <x:c r="F220" s="214"/>
      <x:c r="G220" s="214"/>
      <x:c r="H220" s="214"/>
      <x:c r="I220" s="214"/>
      <x:c r="J220" s="214"/>
      <x:c r="K220" s="214"/>
      <x:c r="L220" s="214"/>
      <x:c r="M220" s="214"/>
      <x:c r="N220" s="214"/>
      <x:c r="O220" s="214"/>
      <x:c r="P220" s="214"/>
      <x:c r="Q220" s="214"/>
      <x:c r="R220" s="214"/>
      <x:c r="S220" s="214"/>
      <x:c r="T220" s="214"/>
    </x:row>
  </x:sheetData>
  <x:mergeCells>
    <x:mergeCell ref="A10:N12"/>
  </x:mergeCells>
  <x:pageMargins left="0.7" right="0.7" top="0.75" bottom="0.75" header="0.3" footer="0.3"/>
</x:worksheet>
</file>

<file path=xl/worksheets/sheet4.xml><?xml version="1.0" encoding="utf-8"?>
<x:worksheet xmlns:x="http://schemas.openxmlformats.org/spreadsheetml/2006/main">
  <x:sheetPr>
    <x:tabColor rgb="FF00A3B5"/>
  </x:sheetPr>
  <x:sheetViews>
    <x:sheetView showGridLines="0" workbookViewId="0">
      <x:pane xSplit="2" ySplit="8" topLeftCell="C9" activePane="bottomRight" state="frozen"/>
    </x:sheetView>
  </x:sheetViews>
  <x:sheetFormatPr defaultRowHeight="15"/>
  <x:cols>
    <x:col min="1" max="1" width="10.5600004196167" hidden="0" customWidth="1"/>
    <x:col min="2" max="2" width="38.88999938964844" hidden="0" customWidth="1"/>
    <x:col min="3" max="3" width="8.329999923706055" hidden="0" customWidth="1"/>
    <x:col min="4" max="4" width="28.889999389648438" hidden="0" customWidth="1"/>
    <x:col min="5" max="5" width="31.110000610351562" hidden="0" customWidth="1"/>
    <x:col min="6" max="6" width="30.559999465942383" hidden="0" customWidth="1"/>
    <x:col min="7" max="7" width="21.110000610351562" hidden="0" customWidth="1"/>
    <x:col min="8" max="8" width="47.779998779296875" hidden="0" customWidth="1"/>
    <x:col min="9" max="9" width="47.220001220703125" hidden="0" customWidth="1"/>
    <x:col min="10" max="10" width="37.220001220703125" hidden="0" customWidth="1"/>
    <x:col min="11" max="11" width="18.889999389648438" hidden="0" customWidth="1"/>
    <x:col min="12" max="12" width="26.670000076293945" hidden="0" customWidth="1"/>
    <x:col min="13" max="13" width="2.6700000762939453" hidden="0" customWidth="1"/>
    <x:col min="14" max="14" width="37.779998779296875" hidden="0" customWidth="1"/>
    <x:col min="15" max="15" width="27.219999313354492" hidden="0" customWidth="1"/>
    <x:col min="16" max="16" width="30.559999465942383" hidden="0" customWidth="1"/>
    <x:col min="17" max="17" width="36.66999816894531" hidden="0" customWidth="1"/>
    <x:col min="18" max="18" width="35.560001373291016" hidden="0" customWidth="1"/>
    <x:col min="19" max="19" width="27.219999313354492" hidden="0" customWidth="1"/>
    <x:col min="20" max="20" width="31.670000076293945" hidden="0" customWidth="1"/>
    <x:col min="21" max="21" width="37.779998779296875" hidden="0" customWidth="1"/>
    <x:col min="22" max="22" width="37.779998779296875" hidden="0" customWidth="1"/>
    <x:col min="23" max="23" width="37.779998779296875" hidden="0" customWidth="1"/>
    <x:col min="24" max="24" width="44.439998626708984" hidden="0" customWidth="1"/>
  </x:cols>
  <x:sheetData>
    <x:row r="1">
      <x:c r="A1" s="217" t="str">
        <x:v>Scientific literature</x:v>
      </x:c>
      <x:c r="B1" s="217" t="str">
        <x:v>Scientific literature</x:v>
      </x:c>
      <x:c r="C1" s="217" t="str">
        <x:v>Scientific literature</x:v>
      </x:c>
      <x:c r="D1" s="217" t="str">
        <x:v>Scientific literature</x:v>
      </x:c>
      <x:c r="E1" s="217" t="str">
        <x:v>Scientific literature</x:v>
      </x:c>
      <x:c r="F1" s="217" t="str">
        <x:v>Scientific literature</x:v>
      </x:c>
      <x:c r="G1" s="214"/>
      <x:c r="H1" s="214"/>
      <x:c r="I1" s="214"/>
      <x:c r="J1" s="214"/>
      <x:c r="K1" s="214"/>
      <x:c r="L1" s="214"/>
      <x:c r="M1" s="214"/>
      <x:c r="N1" s="214"/>
      <x:c r="O1" s="214"/>
    </x:row>
    <x:row r="2">
      <x:c r="A2" s="217" t="str">
        <x:v>Scientific literature</x:v>
      </x:c>
      <x:c r="B2" s="217" t="str">
        <x:v>Scientific literature</x:v>
      </x:c>
      <x:c r="C2" s="217" t="str">
        <x:v>Scientific literature</x:v>
      </x:c>
      <x:c r="D2" s="217" t="str">
        <x:v>Scientific literature</x:v>
      </x:c>
      <x:c r="E2" s="217" t="str">
        <x:v>Scientific literature</x:v>
      </x:c>
      <x:c r="F2" s="217" t="str">
        <x:v>Scientific literature</x:v>
      </x:c>
      <x:c r="G2" s="214"/>
      <x:c r="H2" s="214"/>
      <x:c r="I2" s="214"/>
      <x:c r="J2" s="214"/>
      <x:c r="K2" s="214"/>
      <x:c r="L2" s="214"/>
      <x:c r="M2" s="214"/>
      <x:c r="N2" s="214"/>
      <x:c r="O2" s="214"/>
    </x:row>
    <x:row r="3">
      <x:c r="A3" s="2309" t="str">
        <x:v>National review of coverage, payment values, patient costs and access across prescriptions, procedures and shared conditions. Estradiol is one motivating case. Target population: cisgender women and men.</x:v>
      </x:c>
      <x:c r="B3" s="2309" t="str">
        <x:v>National review of coverage, payment values, patient costs and access across prescriptions, procedures and shared conditions. Estradiol is one motivating case. Target population: cisgender women and men.</x:v>
      </x:c>
      <x:c r="C3" s="2309" t="str">
        <x:v>National review of coverage, payment values, patient costs and access across prescriptions, procedures and shared conditions. Estradiol is one motivating case. Target population: cisgender women and men.</x:v>
      </x:c>
      <x:c r="D3" s="2309" t="str">
        <x:v>National review of coverage, payment values, patient costs and access across prescriptions, procedures and shared conditions. Estradiol is one motivating case. Target population: cisgender women and men.</x:v>
      </x:c>
      <x:c r="E3" s="2309" t="str">
        <x:v>National review of coverage, payment values, patient costs and access across prescriptions, procedures and shared conditions. Estradiol is one motivating case. Target population: cisgender women and men.</x:v>
      </x:c>
      <x:c r="F3" s="2309" t="str">
        <x:v>National review of coverage, payment values, patient costs and access across prescriptions, procedures and shared conditions. Estradiol is one motivating case. Target population: cisgender women and men.</x:v>
      </x:c>
      <x:c r="G3" s="214"/>
      <x:c r="H3" s="214"/>
      <x:c r="I3" s="214"/>
      <x:c r="J3" s="214"/>
      <x:c r="K3" s="214"/>
      <x:c r="L3" s="214"/>
      <x:c r="M3" s="214"/>
      <x:c r="N3" s="214"/>
      <x:c r="O3" s="214"/>
      <x:c r="S3" s="2309" t="str">
        <x:v>Whose sex/gender is analyzed? Patient care, service/anatomy valuation, physician gender and general background are distinct. Filter Analytic subject; read both variable roles and the comparison axis.</x:v>
      </x:c>
      <x:c r="T3" s="2309" t="str">
        <x:v>Whose sex/gender is analyzed? Patient care, service/anatomy valuation, physician gender and general background are distinct. Filter Analytic subject; read both variable roles and the comparison axis.</x:v>
      </x:c>
      <x:c r="U3" s="2309" t="str">
        <x:v>Whose sex/gender is analyzed? Patient care, service/anatomy valuation, physician gender and general background are distinct. Filter Analytic subject; read both variable roles and the comparison axis.</x:v>
      </x:c>
      <x:c r="V3" s="2309" t="str">
        <x:v>Whose sex/gender is analyzed? Patient care, service/anatomy valuation, physician gender and general background are distinct. Filter Analytic subject; read both variable roles and the comparison axis.</x:v>
      </x:c>
      <x:c r="W3" s="2309" t="str">
        <x:v>Whose sex/gender is analyzed? Patient care, service/anatomy valuation, physician gender and general background are distinct. Filter Analytic subject; read both variable roles and the comparison axis.</x:v>
      </x:c>
      <x:c r="X3" s="2309" t="str">
        <x:v>Whose sex/gender is analyzed? Patient care, service/anatomy valuation, physician gender and general background are distinct. Filter Analytic subject; read both variable roles and the comparison axis.</x:v>
      </x:c>
    </x:row>
    <x:row r="4">
      <x:c r="A4" s="2309" t="str">
        <x:v>National review of coverage, payment values, patient costs and access across prescriptions, procedures and shared conditions. Estradiol is one motivating case. Target population: cisgender women and men.</x:v>
      </x:c>
      <x:c r="B4" s="2309" t="str">
        <x:v>National review of coverage, payment values, patient costs and access across prescriptions, procedures and shared conditions. Estradiol is one motivating case. Target population: cisgender women and men.</x:v>
      </x:c>
      <x:c r="C4" s="2309" t="str">
        <x:v>National review of coverage, payment values, patient costs and access across prescriptions, procedures and shared conditions. Estradiol is one motivating case. Target population: cisgender women and men.</x:v>
      </x:c>
      <x:c r="D4" s="2309" t="str">
        <x:v>National review of coverage, payment values, patient costs and access across prescriptions, procedures and shared conditions. Estradiol is one motivating case. Target population: cisgender women and men.</x:v>
      </x:c>
      <x:c r="E4" s="2309" t="str">
        <x:v>National review of coverage, payment values, patient costs and access across prescriptions, procedures and shared conditions. Estradiol is one motivating case. Target population: cisgender women and men.</x:v>
      </x:c>
      <x:c r="F4" s="2309" t="str">
        <x:v>National review of coverage, payment values, patient costs and access across prescriptions, procedures and shared conditions. Estradiol is one motivating case. Target population: cisgender women and men.</x:v>
      </x:c>
      <x:c r="G4" s="214"/>
      <x:c r="H4" s="214"/>
      <x:c r="I4" s="214"/>
      <x:c r="J4" s="214"/>
      <x:c r="K4" s="214"/>
      <x:c r="L4" s="214"/>
      <x:c r="M4" s="214"/>
      <x:c r="N4" s="214"/>
      <x:c r="O4" s="214"/>
      <x:c r="S4" s="2309" t="str">
        <x:v>Whose sex/gender is analyzed? Patient care, service/anatomy valuation, physician gender and general background are distinct. Filter Analytic subject; read both variable roles and the comparison axis.</x:v>
      </x:c>
      <x:c r="T4" s="2309" t="str">
        <x:v>Whose sex/gender is analyzed? Patient care, service/anatomy valuation, physician gender and general background are distinct. Filter Analytic subject; read both variable roles and the comparison axis.</x:v>
      </x:c>
      <x:c r="U4" s="2309" t="str">
        <x:v>Whose sex/gender is analyzed? Patient care, service/anatomy valuation, physician gender and general background are distinct. Filter Analytic subject; read both variable roles and the comparison axis.</x:v>
      </x:c>
      <x:c r="V4" s="2309" t="str">
        <x:v>Whose sex/gender is analyzed? Patient care, service/anatomy valuation, physician gender and general background are distinct. Filter Analytic subject; read both variable roles and the comparison axis.</x:v>
      </x:c>
      <x:c r="W4" s="2309" t="str">
        <x:v>Whose sex/gender is analyzed? Patient care, service/anatomy valuation, physician gender and general background are distinct. Filter Analytic subject; read both variable roles and the comparison axis.</x:v>
      </x:c>
      <x:c r="X4" s="2309" t="str">
        <x:v>Whose sex/gender is analyzed? Patient care, service/anatomy valuation, physician gender and general background are distinct. Filter Analytic subject; read both variable roles and the comparison axis.</x:v>
      </x:c>
    </x:row>
    <x:row r="5">
      <x:c r="A5" s="2309" t="str">
        <x:v>Scope amended September 16. Four patient-access candidates and three source checks added September 21, 2026. Human screening and identity eligibility remain pending; access level is recorded for each study.</x:v>
      </x:c>
      <x:c r="B5" s="2309" t="str">
        <x:v>Scope amended September 16. Four patient-access candidates and three source checks added September 21, 2026. Human screening and identity eligibility remain pending; access level is recorded for each study.</x:v>
      </x:c>
      <x:c r="C5" s="2309" t="str">
        <x:v>Scope amended September 16. Four patient-access candidates and three source checks added September 21, 2026. Human screening and identity eligibility remain pending; access level is recorded for each study.</x:v>
      </x:c>
      <x:c r="D5" s="2309" t="str">
        <x:v>Scope amended September 16. Four patient-access candidates and three source checks added September 21, 2026. Human screening and identity eligibility remain pending; access level is recorded for each study.</x:v>
      </x:c>
      <x:c r="E5" s="2309" t="str">
        <x:v>Scope amended September 16. Four patient-access candidates and three source checks added September 21, 2026. Human screening and identity eligibility remain pending; access level is recorded for each study.</x:v>
      </x:c>
      <x:c r="F5" s="2309" t="str">
        <x:v>Scope amended September 16. Four patient-access candidates and three source checks added September 21, 2026. Human screening and identity eligibility remain pending; access level is recorded for each study.</x:v>
      </x:c>
      <x:c r="G5" s="214"/>
      <x:c r="H5" s="214"/>
      <x:c r="I5" s="214"/>
      <x:c r="J5" s="214"/>
      <x:c r="K5" s="214"/>
      <x:c r="L5" s="214"/>
      <x:c r="M5" s="214"/>
      <x:c r="N5" s="214"/>
      <x:c r="O5" s="214"/>
      <x:c r="S5" s="2309" t="str">
        <x:v>Physician payment evidence is a separate contextual stream. A single-sex clinical population, procedure anatomy, or clinician interview does not establish a between-sex patient or physician effect.</x:v>
      </x:c>
      <x:c r="T5" s="2309" t="str">
        <x:v>Physician payment evidence is a separate contextual stream. A single-sex clinical population, procedure anatomy, or clinician interview does not establish a between-sex patient or physician effect.</x:v>
      </x:c>
      <x:c r="U5" s="2309" t="str">
        <x:v>Physician payment evidence is a separate contextual stream. A single-sex clinical population, procedure anatomy, or clinician interview does not establish a between-sex patient or physician effect.</x:v>
      </x:c>
      <x:c r="V5" s="2309" t="str">
        <x:v>Physician payment evidence is a separate contextual stream. A single-sex clinical population, procedure anatomy, or clinician interview does not establish a between-sex patient or physician effect.</x:v>
      </x:c>
      <x:c r="W5" s="2309" t="str">
        <x:v>Physician payment evidence is a separate contextual stream. A single-sex clinical population, procedure anatomy, or clinician interview does not establish a between-sex patient or physician effect.</x:v>
      </x:c>
      <x:c r="X5" s="2309" t="str">
        <x:v>Physician payment evidence is a separate contextual stream. A single-sex clinical population, procedure anatomy, or clinician interview does not establish a between-sex patient or physician effect.</x:v>
      </x:c>
    </x:row>
    <x:row r="6">
      <x:c r="A6" s="2309" t="str">
        <x:v>Scope amended September 16. Four patient-access candidates and three source checks added September 21, 2026. Human screening and identity eligibility remain pending; access level is recorded for each study.</x:v>
      </x:c>
      <x:c r="B6" s="2309" t="str">
        <x:v>Scope amended September 16. Four patient-access candidates and three source checks added September 21, 2026. Human screening and identity eligibility remain pending; access level is recorded for each study.</x:v>
      </x:c>
      <x:c r="C6" s="2309" t="str">
        <x:v>Scope amended September 16. Four patient-access candidates and three source checks added September 21, 2026. Human screening and identity eligibility remain pending; access level is recorded for each study.</x:v>
      </x:c>
      <x:c r="D6" s="2309" t="str">
        <x:v>Scope amended September 16. Four patient-access candidates and three source checks added September 21, 2026. Human screening and identity eligibility remain pending; access level is recorded for each study.</x:v>
      </x:c>
      <x:c r="E6" s="2309" t="str">
        <x:v>Scope amended September 16. Four patient-access candidates and three source checks added September 21, 2026. Human screening and identity eligibility remain pending; access level is recorded for each study.</x:v>
      </x:c>
      <x:c r="F6" s="2309" t="str">
        <x:v>Scope amended September 16. Four patient-access candidates and three source checks added September 21, 2026. Human screening and identity eligibility remain pending; access level is recorded for each study.</x:v>
      </x:c>
      <x:c r="G6" s="214"/>
      <x:c r="H6" s="214"/>
      <x:c r="I6" s="214"/>
      <x:c r="J6" s="214"/>
      <x:c r="K6" s="214"/>
      <x:c r="L6" s="214"/>
      <x:c r="M6" s="214"/>
      <x:c r="N6" s="214"/>
      <x:c r="O6" s="214"/>
      <x:c r="S6" s="2309" t="str">
        <x:v>Physician payment evidence is a separate contextual stream. A single-sex clinical population, procedure anatomy, or clinician interview does not establish a between-sex patient or physician effect.</x:v>
      </x:c>
      <x:c r="T6" s="2309" t="str">
        <x:v>Physician payment evidence is a separate contextual stream. A single-sex clinical population, procedure anatomy, or clinician interview does not establish a between-sex patient or physician effect.</x:v>
      </x:c>
      <x:c r="U6" s="2309" t="str">
        <x:v>Physician payment evidence is a separate contextual stream. A single-sex clinical population, procedure anatomy, or clinician interview does not establish a between-sex patient or physician effect.</x:v>
      </x:c>
      <x:c r="V6" s="2309" t="str">
        <x:v>Physician payment evidence is a separate contextual stream. A single-sex clinical population, procedure anatomy, or clinician interview does not establish a between-sex patient or physician effect.</x:v>
      </x:c>
      <x:c r="W6" s="2309" t="str">
        <x:v>Physician payment evidence is a separate contextual stream. A single-sex clinical population, procedure anatomy, or clinician interview does not establish a between-sex patient or physician effect.</x:v>
      </x:c>
      <x:c r="X6" s="2309" t="str">
        <x:v>Physician payment evidence is a separate contextual stream. A single-sex clinical population, procedure anatomy, or clinician interview does not establish a between-sex patient or physician effect.</x:v>
      </x:c>
    </x:row>
    <x:row r="7">
      <x:c r="A7" s="214"/>
      <x:c r="B7" s="214"/>
      <x:c r="C7" s="214"/>
      <x:c r="D7" s="214"/>
      <x:c r="E7" s="214"/>
      <x:c r="F7" s="214"/>
      <x:c r="G7" s="214"/>
      <x:c r="H7" s="214"/>
      <x:c r="I7" s="214"/>
      <x:c r="J7" s="214"/>
      <x:c r="K7" s="214"/>
      <x:c r="L7" s="214"/>
      <x:c r="M7" s="214"/>
      <x:c r="N7" s="214"/>
      <x:c r="O7" s="214"/>
    </x:row>
    <x:row r="8" ht="36" customHeight="1">
      <x:c r="A8" s="2291" t="str">
        <x:v>Study ID</x:v>
      </x:c>
      <x:c r="B8" s="2291" t="str">
        <x:v>Citation</x:v>
      </x:c>
      <x:c r="C8" s="2291" t="str">
        <x:v>Year</x:v>
      </x:c>
      <x:c r="D8" s="2291" t="str">
        <x:v>Design</x:v>
      </x:c>
      <x:c r="E8" s="2291" t="str">
        <x:v>Population / sample</x:v>
      </x:c>
      <x:c r="F8" s="2291" t="str">
        <x:v>Payer / applicability</x:v>
      </x:c>
      <x:c r="G8" s="2291" t="str">
        <x:v>Data period</x:v>
      </x:c>
      <x:c r="H8" s="2291" t="str">
        <x:v>Main finding</x:v>
      </x:c>
      <x:c r="I8" s="2291" t="str">
        <x:v>Limitations</x:v>
      </x:c>
      <x:c r="J8" s="2291" t="str">
        <x:v>Relevance to this review</x:v>
      </x:c>
      <x:c r="K8" s="2291" t="str">
        <x:v>Linked item IDs</x:v>
      </x:c>
      <x:c r="L8" s="2291" t="str">
        <x:v>Source access</x:v>
      </x:c>
      <x:c r="M8" s="2308" t="str">
        <x:v> </x:v>
      </x:c>
      <x:c r="N8" s="2291" t="str">
        <x:v>Study URL</x:v>
      </x:c>
      <x:c r="O8" s="2291" t="str">
        <x:v>DOI / PMID</x:v>
      </x:c>
      <x:c r="P8" s="2291" t="str">
        <x:v>Population-screening status</x:v>
      </x:c>
      <x:c r="Q8" s="2291" t="str">
        <x:v>Sex / gender reporting</x:v>
      </x:c>
      <x:c r="R8" s="2291" t="str">
        <x:v>Screening notes</x:v>
      </x:c>
      <x:c r="S8" s="2291" t="str">
        <x:v>Analytic subject</x:v>
      </x:c>
      <x:c r="T8" s="2291" t="str">
        <x:v>Unit of analysis</x:v>
      </x:c>
      <x:c r="U8" s="2291" t="str">
        <x:v>Patient sex/gender role</x:v>
      </x:c>
      <x:c r="V8" s="2291" t="str">
        <x:v>Physician sex/gender role</x:v>
      </x:c>
      <x:c r="W8" s="2291" t="str">
        <x:v>Comparison axis</x:v>
      </x:c>
      <x:c r="X8" s="2291" t="str">
        <x:v>Inference boundary</x:v>
      </x:c>
    </x:row>
    <x:row r="9" ht="117" customHeight="1">
      <x:c r="A9" s="2296" t="str">
        <x:v>L-P01</x:v>
      </x:c>
      <x:c r="B9" s="2296" t="str">
        <x:v>Penn M, et al. Price and Prejudice: Reimbursement of Surgical Care on Male Versus Female Anatomies. J Womens Health (Larchmt). 2025;34(5):665-676.</x:v>
      </x:c>
      <x:c r="C9" s="2323" t="n">
        <x:v>2025</x:v>
      </x:c>
      <x:c r="D9" s="2296" t="str">
        <x:v>Matched-code and longitudinal fee-schedule analysis</x:v>
      </x:c>
      <x:c r="E9" s="2296" t="str">
        <x:v>55 analogous male/female procedure pairs; 110 CPT codes</x:v>
      </x:c>
      <x:c r="F9" s="2296" t="str">
        <x:v>Medicare fee schedule</x:v>
      </x:c>
      <x:c r="G9" s="2296" t="str">
        <x:v>2023 cross-section; 2003–2023 trends</x:v>
      </x:c>
      <x:c r="H9" s="2296" t="str">
        <x:v>Male procedures averaged 30% higher work RVUs, 25.6% higher physician facility-site payments and 20% higher nonfacility payments; 41/55 female procedures had lower RVUs.</x:v>
      </x:c>
      <x:c r="I9" s="2296" t="str">
        <x:v>Selected anatomical pairs; no all-procedure estimate; excludes DRGs; limited operative-hour analysis; no causal identification.</x:v>
      </x:c>
      <x:c r="J9" s="2296" t="str">
        <x:v>Direct patient-anatomy procedure valuation comparison; not clinician-gender pay.</x:v>
      </x:c>
      <x:c r="K9" s="2296" t="str">
        <x:v>P01, P02, P13</x:v>
      </x:c>
      <x:c r="L9" s="2296" t="str">
        <x:v>Source-verified PubMed/publisher abstract; search-indexed publisher PDF limitation excerpt. Full article not retrieved.</x:v>
      </x:c>
      <x:c r="M9" s="2324" t="str"/>
      <x:c r="N9" s="2327" t="str">
        <x:v>https://pubmed.ncbi.nlm.nih.gov/39978776/</x:v>
      </x:c>
      <x:c r="O9" s="2296" t="str">
        <x:v>10.1089/jwh.2024.0984; PMID 39978776</x:v>
      </x:c>
      <x:c r="P9" s="2329" t="str">
        <x:v>Policy/code-level component retained</x:v>
      </x:c>
      <x:c r="Q9" s="2296" t="str">
        <x:v>Code/insurer evidence does not establish patient gender identity. Assess any patient-level component separately.</x:v>
      </x:c>
      <x:c r="R9" s="2330" t="str">
        <x:v>Retain; abstract verified and metadata matched. Full-text methods, pair list, valuation inputs and uncertainty remain pending.</x:v>
      </x:c>
      <x:c r="S9" s="2296" t="str">
        <x:v>Service / anatomy valuation or coverage</x:v>
      </x:c>
      <x:c r="T9" s="2296" t="str">
        <x:v>Matched CPT-code pairs and fee-schedule years</x:v>
      </x:c>
      <x:c r="U9" s="2296" t="str">
        <x:v>Anatomy represented by procedure categories; no patient identity measurement</x:v>
      </x:c>
      <x:c r="V9" s="2296" t="str">
        <x:v>Not extracted as an analytic exposure</x:v>
      </x:c>
      <x:c r="W9" s="2296" t="str">
        <x:v>Male- versus female-anatomy procedure valuation</x:v>
      </x:c>
      <x:c r="X9" s="2296" t="str">
        <x:v>Payment to a physician for a code is not a comparison of physician genders; selected pairs are not all Medicare services.</x:v>
      </x:c>
    </x:row>
    <x:row r="10" ht="117" customHeight="1">
      <x:c r="A10" s="2302" t="str">
        <x:v>L-P02</x:v>
      </x:c>
      <x:c r="B10" s="2302" t="str">
        <x:v>Hathaway JK, et al. Comparison of Work Relative Value Units Assigned to Urological and Gynecological Surgical Procedures. Urol Pract. 2024;11(4):654-660.</x:v>
      </x:c>
      <x:c r="C10" s="2325" t="n">
        <x:v>2024</x:v>
      </x:c>
      <x:c r="D10" s="2302" t="str">
        <x:v>Strictly matched procedure comparison using RUC methodology</x:v>
      </x:c>
      <x:c r="E10" s="2302" t="str">
        <x:v>10 directly analogous code pairs</x:v>
      </x:c>
      <x:c r="F10" s="2302" t="str">
        <x:v>Medicare work RVUs</x:v>
      </x:c>
      <x:c r="G10" s="2302" t="str">
        <x:v>Valuations analyzed for 2024 publication</x:v>
      </x:c>
      <x:c r="H10" s="2302" t="str">
        <x:v>Seven female procedures had higher work RVUs; three male procedures did. Overall differences in work RVUs and work RVUs per minute were not statistically significant.</x:v>
      </x:c>
      <x:c r="I10" s="2302" t="str">
        <x:v>Small selected set; null does not establish equivalence. Journal abstract reports 10 pairs (7 female higher), AUA companion 9 (6 female higher). Full text, valuation year and numerical CIs pending.</x:v>
      </x:c>
      <x:c r="J10" s="2302" t="str">
        <x:v>Essential counterevidence; considered time, global periods, postoperative care and valuation dates.</x:v>
      </x:c>
      <x:c r="K10" s="2302" t="str">
        <x:v>P01, P02, P14</x:v>
      </x:c>
      <x:c r="L10" s="2302" t="str">
        <x:v>Source-verified PubMed and journal abstract; same-author AUA News companion text/table accessed through search index. Peer-reviewed full text not retrieved.</x:v>
      </x:c>
      <x:c r="M10" s="2324" t="str"/>
      <x:c r="N10" s="2328" t="str">
        <x:v>https://pubmed.ncbi.nlm.nih.gov/38758183/</x:v>
      </x:c>
      <x:c r="O10" s="2302" t="str">
        <x:v>10.1097/upj.0000000000000612; PMID 38758183</x:v>
      </x:c>
      <x:c r="P10" s="2329" t="str">
        <x:v>Policy/code-level component retained</x:v>
      </x:c>
      <x:c r="Q10" s="2302" t="str">
        <x:v>Code/insurer evidence does not establish patient gender identity. Assess any patient-level component separately.</x:v>
      </x:c>
      <x:c r="R10" s="2330" t="str">
        <x:v>Retain explicitly as null/opposing evidence; full-text uncertainty, valuation year and pair-count discrepancy pending.</x:v>
      </x:c>
      <x:c r="S10" s="2302" t="str">
        <x:v>Service / anatomy valuation or coverage</x:v>
      </x:c>
      <x:c r="T10" s="2302" t="str">
        <x:v>Matched procedure-code pairs and work/time valuations</x:v>
      </x:c>
      <x:c r="U10" s="2302" t="str">
        <x:v>Anatomy represented by procedure categories; no patient identity measurement</x:v>
      </x:c>
      <x:c r="V10" s="2302" t="str">
        <x:v>Not extracted as an analytic exposure</x:v>
      </x:c>
      <x:c r="W10" s="2302" t="str">
        <x:v>Directly analogous urologic and gynecologic procedures</x:v>
      </x:c>
      <x:c r="X10" s="2302" t="str">
        <x:v>Null results in selected pairs do not establish equality across all services or patient access.</x:v>
      </x:c>
    </x:row>
    <x:row r="11" ht="117" customHeight="1">
      <x:c r="A11" s="2296" t="str">
        <x:v>L-P03</x:v>
      </x:c>
      <x:c r="B11" s="2296" t="str">
        <x:v>Polan RM, et al. Reimbursement for Female-Specific Compared With Male-Specific Procedures Over Time. Obstet Gynecol. 2021;138(6):878-883.</x:v>
      </x:c>
      <x:c r="C11" s="2323" t="n">
        <x:v>2021</x:v>
      </x:c>
      <x:c r="D11" s="2296" t="str">
        <x:v>Retrospective matched-procedure analysis</x:v>
      </x:c>
      <x:c r="E11" s="2296" t="str">
        <x:v>12 pairs; 12,120 NSQIP patients</x:v>
      </x:c>
      <x:c r="F11" s="2296" t="str">
        <x:v>RVUs plus specialty compensation survey, not Medicare-paid dollars</x:v>
      </x:c>
      <x:c r="G11" s="2296" t="str">
        <x:v>NSQIP 2015–2018; historical 1997 RVUs</x:v>
      </x:c>
      <x:c r="H11" s="2296" t="str">
        <x:v>Female procedures generated 10.6 versus 9.7 RVUs/hour, yet modeled specialty compensation was $555 versus $599/hour.</x:v>
      </x:c>
      <x:c r="I11" s="2296" t="str">
        <x:v>Specialty compensation multipliers are not Medicare conversion factors; global/perioperative work omitted. Published arithmetic discrepancies flagged in extraction notes. NSQIP is not a Medicare-only cohort.</x:v>
      </x:c>
      <x:c r="J11" s="2296" t="str">
        <x:v>Separates procedure value from specialty pay; not a direct clinician-gender effect.</x:v>
      </x:c>
      <x:c r="K11" s="2296" t="str">
        <x:v>P01, P14</x:v>
      </x:c>
      <x:c r="L11" s="2296" t="str">
        <x:v>Full author manuscript including Methods, Results, Discussion and Table 1 retrieved through public NCBI PMC EFetch XML. Free full text; Europe PMC does not mark an open-access license.</x:v>
      </x:c>
      <x:c r="M11" s="2324" t="str"/>
      <x:c r="N11" s="2327" t="str">
        <x:v>https://pubmed.ncbi.nlm.nih.gov/34736273/</x:v>
      </x:c>
      <x:c r="O11" s="2296" t="str">
        <x:v>10.1097/aog.0000000000004599; PMID 34736273</x:v>
      </x:c>
      <x:c r="P11" s="2329" t="str">
        <x:v>Candidate: population verification pending</x:v>
      </x:c>
      <x:c r="Q11" s="2296" t="str">
        <x:v>Male/female or men/women reported. Cisgender identity and absence of transgender participants are not established by the current extraction.</x:v>
      </x:c>
      <x:c r="R11" s="2330" t="str">
        <x:v>Retain; full-text extraction advanced in this session. Classify as service valuation with registry time data and modeled specialty compensation, not cisgender patient disparity or physician-gender outcome evidence.</x:v>
      </x:c>
      <x:c r="S11" s="2296" t="str">
        <x:v>Service / anatomy valuation or coverage</x:v>
      </x:c>
      <x:c r="T11" s="2296" t="str">
        <x:v>Matched procedures, NSQIP patient records and specialty compensation estimates</x:v>
      </x:c>
      <x:c r="U11" s="2296" t="str">
        <x:v>Anatomy-specific procedure groups; patient data inform operative resources</x:v>
      </x:c>
      <x:c r="V11" s="2296" t="str">
        <x:v>Specialty compensation variable; not physician gender</x:v>
      </x:c>
      <x:c r="W11" s="2296" t="str">
        <x:v>Female- versus male-specific procedure work and modeled compensation</x:v>
      </x:c>
      <x:c r="X11" s="2296" t="str">
        <x:v>Modeled specialty compensation is not an observed physician-gender effect or a sex-specific Medicare conversion factor.</x:v>
      </x:c>
    </x:row>
    <x:row r="12" ht="117" customHeight="1">
      <x:c r="A12" s="2302" t="str">
        <x:v>L-P04</x:v>
      </x:c>
      <x:c r="B12" s="2302" t="str">
        <x:v>Uppal S, et al. Discrepancies Created by Surgeon Self-Reported Operative Time and the Effects on Procedural Relative Value Units and Reimbursement. Obstet Gynecol. 2021;138(2):182-188.</x:v>
      </x:c>
      <x:c r="C12" s="2325" t="n">
        <x:v>2021</x:v>
      </x:c>
      <x:c r="D12" s="2302" t="str">
        <x:v>Cross-sectional registry analysis; adjusted regression</x:v>
      </x:c>
      <x:c r="E12" s="2302" t="str">
        <x:v>901,917 surgeries across specialties</x:v>
      </x:c>
      <x:c r="F12" s="2302" t="str">
        <x:v>NSQIP linked to CMS RVUs/time estimates</x:v>
      </x:c>
      <x:c r="G12" s="2302" t="str">
        <x:v>2016 NSQIP; 2018 CMS time file</x:v>
      </x:c>
      <x:c r="H12" s="2302" t="str">
        <x:v>Median RVUs/hour: gynecology 10.2, orthopedics 14.3, neurosurgery 12.9. Differences persisted after clinical adjustment; reported-time excess correlated with RVUs/hour (r=.87).</x:v>
      </x:c>
      <x:c r="I12" s="2302" t="str">
        <x:v>Specialty comparison, not isolated sex effect; registry and RUC time definitions/date comparability contested.</x:v>
      </x:c>
      <x:c r="J12" s="2302" t="str">
        <x:v>Potential valuation mechanism; adjusted for age, comorbidities, stay length and predicted morbidity/mortality.</x:v>
      </x:c>
      <x:c r="K12" s="2302" t="str">
        <x:v>P13</x:v>
      </x:c>
      <x:c r="L12" s="2302" t="str">
        <x:v>Citation and abstract; full-text extraction not completed</x:v>
      </x:c>
      <x:c r="M12" s="2324" t="str"/>
      <x:c r="N12" s="2328" t="str">
        <x:v>https://pubmed.ncbi.nlm.nih.gov/34237766/</x:v>
      </x:c>
      <x:c r="O12" s="2302" t="str">
        <x:v>10.1097/aog.0000000000004467; PMID 34237766</x:v>
      </x:c>
      <x:c r="P12" s="2329" t="str">
        <x:v>Candidate: population verification pending</x:v>
      </x:c>
      <x:c r="Q12" s="2302" t="str">
        <x:v>Male/female or men/women reported. Cisgender identity and absence of transgender participants are not established by the current extraction.</x:v>
      </x:c>
      <x:c r="R12" s="2330" t="str"/>
      <x:c r="S12" s="2302" t="str">
        <x:v>Service / anatomy valuation or coverage</x:v>
      </x:c>
      <x:c r="T12" s="2302" t="str">
        <x:v>Surgical registry cases linked to CMS procedure time and RVUs</x:v>
      </x:c>
      <x:c r="U12" s="2302" t="str">
        <x:v>Patient clinical case mix; no isolated patient-sex effect extracted</x:v>
      </x:c>
      <x:c r="V12" s="2302" t="str">
        <x:v>Surgical specialty comparison; not physician gender</x:v>
      </x:c>
      <x:c r="W12" s="2302" t="str">
        <x:v>Valuation and reported versus observed operative time across specialties</x:v>
      </x:c>
      <x:c r="X12" s="2302" t="str">
        <x:v>Specialty differences do not isolate either patient-sex or physician-gender discrimination.</x:v>
      </x:c>
    </x:row>
    <x:row r="13" ht="117" customHeight="1">
      <x:c r="A13" s="2296" t="str">
        <x:v>L-P05</x:v>
      </x:c>
      <x:c r="B13" s="2296" t="str">
        <x:v>Goff BA, et al. Is Adam worth more than Eve? The financial impact of gender bias in the federal reimbursement of gynecological procedures. Gynecol Oncol. 1997;64(3):372-377.</x:v>
      </x:c>
      <x:c r="C13" s="2323" t="n">
        <x:v>1997</x:v>
      </x:c>
      <x:c r="D13" s="2296" t="str">
        <x:v>Matched historical procedure comparison</x:v>
      </x:c>
      <x:c r="E13" s="2296" t="str">
        <x:v>24 male/female procedure groups</x:v>
      </x:c>
      <x:c r="F13" s="2296" t="str">
        <x:v>Federal Medicare schedule</x:v>
      </x:c>
      <x:c r="G13" s="2296" t="str">
        <x:v>December 1995 schedule</x:v>
      </x:c>
      <x:c r="H13" s="2296" t="str">
        <x:v>Male procedures paid more in 19/24 groups; reported average payment 44% higher and work RVUs 50% higher.</x:v>
      </x:c>
      <x:c r="I13" s="2296" t="str">
        <x:v>Historical rates; judgment-based matching; not a present-day payment estimate.</x:v>
      </x:c>
      <x:c r="J13" s="2296" t="str">
        <x:v>Foundational patient-anatomy valuation evidence.</x:v>
      </x:c>
      <x:c r="K13" s="2296" t="str"/>
      <x:c r="L13" s="2296" t="str">
        <x:v>Citation and abstract; full-text extraction not completed</x:v>
      </x:c>
      <x:c r="M13" s="2324" t="str"/>
      <x:c r="N13" s="2327" t="str">
        <x:v>https://pubmed.ncbi.nlm.nih.gov/9062137/</x:v>
      </x:c>
      <x:c r="O13" s="2296" t="str">
        <x:v>10.1006/gyno.1996.4607; PMID 9062137</x:v>
      </x:c>
      <x:c r="P13" s="2329" t="str">
        <x:v>Policy/code-level component retained</x:v>
      </x:c>
      <x:c r="Q13" s="2296" t="str">
        <x:v>Code/insurer evidence does not establish patient gender identity. Assess any patient-level component separately.</x:v>
      </x:c>
      <x:c r="R13" s="2330" t="str"/>
      <x:c r="S13" s="2296" t="str">
        <x:v>Service / anatomy valuation or coverage</x:v>
      </x:c>
      <x:c r="T13" s="2296" t="str">
        <x:v>Historically matched procedure groups</x:v>
      </x:c>
      <x:c r="U13" s="2296" t="str">
        <x:v>Anatomy represented by procedure categories; no patient identity measurement</x:v>
      </x:c>
      <x:c r="V13" s="2296" t="str">
        <x:v>Not extracted as an analytic exposure</x:v>
      </x:c>
      <x:c r="W13" s="2296" t="str">
        <x:v>Male- versus female-anatomy procedures in the 1995 schedule</x:v>
      </x:c>
      <x:c r="X13" s="2296" t="str">
        <x:v>Historical code-payment differences do not measure current coverage or physician-gender pay.</x:v>
      </x:c>
    </x:row>
    <x:row r="14" ht="117" customHeight="1">
      <x:c r="A14" s="2302" t="str">
        <x:v>L-P06</x:v>
      </x:c>
      <x:c r="B14" s="2302" t="str">
        <x:v>Benoit MF, et al. Comparison of 2015 Medicare relative value units for gender-specific procedures: Gynecologic and gynecologic-oncologic versus urologic CPT coding. Has time healed gender-worth? Gynecol Oncol. 2017;144(2):336-342.</x:v>
      </x:c>
      <x:c r="C14" s="2325" t="n">
        <x:v>2017</x:v>
      </x:c>
      <x:c r="D14" s="2302" t="str">
        <x:v>Anatomically matched schedule analysis</x:v>
      </x:c>
      <x:c r="E14" s="2302" t="str">
        <x:v>50 male/female pairs</x:v>
      </x:c>
      <x:c r="F14" s="2302" t="str">
        <x:v>Medicare-related RVUs sourced from Department of Labor FECA data</x:v>
      </x:c>
      <x:c r="G14" s="2302" t="str">
        <x:v>2015</x:v>
      </x:c>
      <x:c r="H14" s="2302" t="str">
        <x:v>Male procedures had higher work RVUs in 36/50 pairs; reported compensation was higher in 42/50 and averaged 27.67% higher.</x:v>
      </x:c>
      <x:c r="I14" s="2302" t="str">
        <x:v>Global periods, postoperative care and valuation dates challenged by later authors; underlying FECA source limits simple Medicare interpretation.</x:v>
      </x:c>
      <x:c r="J14" s="2302" t="str">
        <x:v>Historical valuation disparity; prioritize newer studies for current estimates.</x:v>
      </x:c>
      <x:c r="K14" s="2302" t="str">
        <x:v>P02</x:v>
      </x:c>
      <x:c r="L14" s="2302" t="str">
        <x:v>Targeted full-text review</x:v>
      </x:c>
      <x:c r="M14" s="2324" t="str"/>
      <x:c r="N14" s="2328" t="str">
        <x:v>https://pubmed.ncbi.nlm.nih.gov/28024653/</x:v>
      </x:c>
      <x:c r="O14" s="2302" t="str">
        <x:v>10.1016/j.ygyno.2016.12.006; PMID 28024653</x:v>
      </x:c>
      <x:c r="P14" s="2329" t="str">
        <x:v>Policy/code-level component retained</x:v>
      </x:c>
      <x:c r="Q14" s="2302" t="str">
        <x:v>Code/insurer evidence does not establish patient gender identity. Assess any patient-level component separately.</x:v>
      </x:c>
      <x:c r="R14" s="2330" t="str"/>
      <x:c r="S14" s="2302" t="str">
        <x:v>Service / anatomy valuation or coverage</x:v>
      </x:c>
      <x:c r="T14" s="2302" t="str">
        <x:v>Anatomically matched procedure-code pairs</x:v>
      </x:c>
      <x:c r="U14" s="2302" t="str">
        <x:v>Anatomy represented by procedure categories; no patient identity measurement</x:v>
      </x:c>
      <x:c r="V14" s="2302" t="str">
        <x:v>Not extracted as an analytic exposure</x:v>
      </x:c>
      <x:c r="W14" s="2302" t="str">
        <x:v>Male- versus female-anatomy procedure RVUs and compensation estimates</x:v>
      </x:c>
      <x:c r="X14" s="2302" t="str">
        <x:v>Matching assumptions and the underlying FECA source limit direct Medicare interpretation; physician gender is not the extracted comparison.</x:v>
      </x:c>
    </x:row>
    <x:row r="15" ht="117" customHeight="1">
      <x:c r="A15" s="2296" t="str">
        <x:v>L-P07</x:v>
      </x:c>
      <x:c r="B15" s="2296" t="str">
        <x:v>Graziano FD, et al. Longitudinal Trends in wRVU and Reimbursement for Free Flap and Implant-Based Breast Reconstruction: A 13-Year Valuation Analysis. Plast Reconstr Surg. 2026.</x:v>
      </x:c>
      <x:c r="C15" s="2323" t="n">
        <x:v>2026</x:v>
      </x:c>
      <x:c r="D15" s="2296" t="str">
        <x:v>Retrospective registry and longitudinal CMS valuation analysis</x:v>
      </x:c>
      <x:c r="E15" s="2296" t="str">
        <x:v>27,106 unilateral breast-reconstruction cases</x:v>
      </x:c>
      <x:c r="F15" s="2296" t="str">
        <x:v>NSQIP cases with CMS valuations</x:v>
      </x:c>
      <x:c r="G15" s="2296" t="str">
        <x:v>2009–2021</x:v>
      </x:c>
      <x:c r="H15" s="2296" t="str">
        <x:v>Implant reconstruction: median 1.4 hours and 11.94 wRVUs/hour; free flap: 6.77 hours and 6.29 wRVUs/hour. Free-flap hourly reimbursement improved but remained comparatively lower.</x:v>
      </x:c>
      <x:c r="I15" s="2296" t="str">
        <x:v>Not all patients were Medicare beneficiaries; no male comparator; operating time does not capture all work.</x:v>
      </x:c>
      <x:c r="J15" s="2296" t="str">
        <x:v>Within-women-care resource valuation; does not independently prove sex bias.</x:v>
      </x:c>
      <x:c r="K15" s="2296" t="str">
        <x:v>P03</x:v>
      </x:c>
      <x:c r="L15" s="2296" t="str">
        <x:v>Citation and abstract; full-text extraction not completed</x:v>
      </x:c>
      <x:c r="M15" s="2324" t="str"/>
      <x:c r="N15" s="2327" t="str">
        <x:v>https://pubmed.ncbi.nlm.nih.gov/42085599/</x:v>
      </x:c>
      <x:c r="O15" s="2296" t="str">
        <x:v>10.1097/prs.0000000000013164; PMID 42085599</x:v>
      </x:c>
      <x:c r="P15" s="2329" t="str">
        <x:v>Candidate: population verification pending</x:v>
      </x:c>
      <x:c r="Q15" s="2296" t="str">
        <x:v>Male/female or men/women reported. Cisgender identity and absence of transgender participants are not established by the current extraction.</x:v>
      </x:c>
      <x:c r="R15" s="2330" t="str"/>
      <x:c r="S15" s="2296" t="str">
        <x:v>Service / anatomy valuation or coverage</x:v>
      </x:c>
      <x:c r="T15" s="2296" t="str">
        <x:v>Breast-reconstruction registry cases and longitudinal code valuations</x:v>
      </x:c>
      <x:c r="U15" s="2296" t="str">
        <x:v>Breast-reconstruction indication; no between-sex effect extracted</x:v>
      </x:c>
      <x:c r="V15" s="2296" t="str">
        <x:v>Not extracted as an analytic exposure</x:v>
      </x:c>
      <x:c r="W15" s="2296" t="str">
        <x:v>Implant versus flap reconstruction and changes over time</x:v>
      </x:c>
      <x:c r="X15" s="2296" t="str">
        <x:v>Within-breast-service resource differences do not independently establish patient-sex or physician-gender bias.</x:v>
      </x:c>
    </x:row>
    <x:row r="16" ht="117" customHeight="1">
      <x:c r="A16" s="2302" t="str">
        <x:v>L-P08</x:v>
      </x:c>
      <x:c r="B16" s="2302" t="str">
        <x:v>Stigliano M, et al. Trends in Medicare Reimbursement for Breast Procedures: A National and Geographic Analysis, 2010-2024. Ann Plast Surg. 2026;96(Suppl 5):S228-S233.</x:v>
      </x:c>
      <x:c r="C16" s="2325" t="n">
        <x:v>2026</x:v>
      </x:c>
      <x:c r="D16" s="2302" t="str">
        <x:v>Longitudinal fee-schedule analysis and geographic comparison</x:v>
      </x:c>
      <x:c r="E16" s="2302" t="str">
        <x:v>Six breast procedure types; 20 largest US cities</x:v>
      </x:c>
      <x:c r="F16" s="2302" t="str">
        <x:v>Medicare Physician Fee Schedule</x:v>
      </x:c>
      <x:c r="G16" s="2302" t="str">
        <x:v>2010–2024</x:v>
      </x:c>
      <x:c r="H16" s="2302" t="str">
        <x:v>Inflation-adjusted payments declined 26.0%–46.2%; largest reduction involved tissue expanders. Geographic adjustments were much smaller than city cost-of-living differences.</x:v>
      </x:c>
      <x:c r="I16" s="2302" t="str">
        <x:v>No male or nongynecologic control; fee schedules are not claims paid or proof of coverage.</x:v>
      </x:c>
      <x:c r="J16" s="2302" t="str">
        <x:v>Evidence of erosion in breast-care reimbursement, not standalone proof of gender discrimination.</x:v>
      </x:c>
      <x:c r="K16" s="2302" t="str">
        <x:v>P03, P07</x:v>
      </x:c>
      <x:c r="L16" s="2302" t="str">
        <x:v>Citation and abstract; full-text extraction not completed</x:v>
      </x:c>
      <x:c r="M16" s="2324" t="str"/>
      <x:c r="N16" s="2328" t="str">
        <x:v>https://pubmed.ncbi.nlm.nih.gov/41701182/</x:v>
      </x:c>
      <x:c r="O16" s="2302" t="str">
        <x:v>10.1097/sap.0000000000004646; PMID 41701182</x:v>
      </x:c>
      <x:c r="P16" s="2329" t="str">
        <x:v>Policy/code-level component retained</x:v>
      </x:c>
      <x:c r="Q16" s="2302" t="str">
        <x:v>Code/insurer evidence does not establish patient gender identity. Assess any patient-level component separately.</x:v>
      </x:c>
      <x:c r="R16" s="2330" t="str"/>
      <x:c r="S16" s="2302" t="str">
        <x:v>Service / anatomy valuation or coverage</x:v>
      </x:c>
      <x:c r="T16" s="2302" t="str">
        <x:v>Breast procedure types by fee-schedule year and city</x:v>
      </x:c>
      <x:c r="U16" s="2302" t="str">
        <x:v>Anatomical service category; no patient cohort</x:v>
      </x:c>
      <x:c r="V16" s="2302" t="str">
        <x:v>Not extracted as an analytic exposure</x:v>
      </x:c>
      <x:c r="W16" s="2302" t="str">
        <x:v>Breast-procedure payments over time and across locations</x:v>
      </x:c>
      <x:c r="X16" s="2302" t="str">
        <x:v>Payment erosion within selected services is not a patient-sex comparison or evidence of physician-gender differences.</x:v>
      </x:c>
    </x:row>
    <x:row r="17" ht="117" customHeight="1">
      <x:c r="A17" s="2296" t="str">
        <x:v>L-P09</x:v>
      </x:c>
      <x:c r="B17" s="2296" t="str">
        <x:v>Doval AF, et al. Is Our Effort Appropriately Valued? An Analysis of Work Relative Value Units in Immediate Breast Reconstruction. Plast Reconstr Surg. 2020;146(3):502-508.</x:v>
      </x:c>
      <x:c r="C17" s="2323" t="n">
        <x:v>2020</x:v>
      </x:c>
      <x:c r="D17" s="2296" t="str">
        <x:v>Retrospective NSQIP procedure comparison</x:v>
      </x:c>
      <x:c r="E17" s="2296" t="str">
        <x:v>3,135 implant, pedicled-flap or free-flap reconstruction patients</x:v>
      </x:c>
      <x:c r="F17" s="2296" t="str">
        <x:v>Procedure RVUs and modeled dollars; mixed-payer registry</x:v>
      </x:c>
      <x:c r="G17" s="2296" t="str">
        <x:v>Six-year period; dates not specified in abstract</x:v>
      </x:c>
      <x:c r="H17" s="2296" t="str">
        <x:v>Implant procedures yielded higher work RVUs and dollars per minute than flap reconstruction in all comparisons (p&lt;.0001), despite shorter operative times.</x:v>
      </x:c>
      <x:c r="I17" s="2296" t="str">
        <x:v>Operative time is incomplete workload measure; no male comparator; abstract does not fully specify reimbursement assumptions.</x:v>
      </x:c>
      <x:c r="J17" s="2296" t="str">
        <x:v>Corroborates within-breast-reconstruction valuation differences.</x:v>
      </x:c>
      <x:c r="K17" s="2296" t="str">
        <x:v>P03</x:v>
      </x:c>
      <x:c r="L17" s="2296" t="str">
        <x:v>Citation and abstract; full-text extraction not completed</x:v>
      </x:c>
      <x:c r="M17" s="2324" t="str"/>
      <x:c r="N17" s="2327" t="str">
        <x:v>https://pubmed.ncbi.nlm.nih.gov/32453268/</x:v>
      </x:c>
      <x:c r="O17" s="2296" t="str">
        <x:v>10.1097/prs.0000000000007054; PMID 32453268</x:v>
      </x:c>
      <x:c r="P17" s="2329" t="str">
        <x:v>Candidate: population verification pending</x:v>
      </x:c>
      <x:c r="Q17" s="2296" t="str">
        <x:v>Male/female or men/women reported. Cisgender identity and absence of transgender participants are not established by the current extraction.</x:v>
      </x:c>
      <x:c r="R17" s="2330" t="str"/>
      <x:c r="S17" s="2296" t="str">
        <x:v>Service / anatomy valuation or coverage</x:v>
      </x:c>
      <x:c r="T17" s="2296" t="str">
        <x:v>Breast-reconstruction patient records grouped by procedure</x:v>
      </x:c>
      <x:c r="U17" s="2296" t="str">
        <x:v>Breast-reconstruction indication; no between-sex effect extracted</x:v>
      </x:c>
      <x:c r="V17" s="2296" t="str">
        <x:v>Not extracted as an analytic exposure</x:v>
      </x:c>
      <x:c r="W17" s="2296" t="str">
        <x:v>Implant, pedicled-flap and free-flap work and payment per time</x:v>
      </x:c>
      <x:c r="X17" s="2296" t="str">
        <x:v>Patient records support resource comparisons; no independent sex-disparity estimate is extracted.</x:v>
      </x:c>
    </x:row>
    <x:row r="18" ht="117" customHeight="1">
      <x:c r="A18" s="2302" t="str">
        <x:v>L-P10</x:v>
      </x:c>
      <x:c r="B18" s="2302" t="str">
        <x:v>Morin M, et al. Multimodal physical therapy versus topical lidocaine for provoked vestibulodynia: a multicenter, randomized trial. Am J Obstet Gynecol. 2021;224(2):189.e1-189.e12.</x:v>
      </x:c>
      <x:c r="C18" s="2325" t="n">
        <x:v>2021</x:v>
      </x:c>
      <x:c r="D18" s="2302" t="str">
        <x:v>Multicenter randomized trial; 10-week treatment, 6-month follow-up</x:v>
      </x:c>
      <x:c r="E18" s="2302" t="str">
        <x:v>212 women recruited through four Canadian university hospitals/community</x:v>
      </x:c>
      <x:c r="F18" s="2302" t="str">
        <x:v>Clinical effectiveness study; not a reimbursement study</x:v>
      </x:c>
      <x:c r="G18" s="2302" t="str">
        <x:v>Published online 2020; issue 2021</x:v>
      </x:c>
      <x:c r="H18" s="2302" t="str">
        <x:v>PT reduced intercourse pain more than lidocaine by 1.8 points; 79% versus 39% reported much/very much improvement. Benefits persisted at six months.</x:v>
      </x:c>
      <x:c r="I18" s="2302" t="str">
        <x:v>Canadian, predominantly younger clinical population; no Medicare claim or sex comparison; cannot infer national coverage from efficacy.</x:v>
      </x:c>
      <x:c r="J18" s="2302" t="str">
        <x:v>Relevant to reviewing pelvic-pain therapy restrictions against later clinical evidence.</x:v>
      </x:c>
      <x:c r="K18" s="2302" t="str">
        <x:v>P12</x:v>
      </x:c>
      <x:c r="L18" s="2302" t="str">
        <x:v>Citation and abstract; full-text extraction not completed</x:v>
      </x:c>
      <x:c r="M18" s="2324" t="str"/>
      <x:c r="N18" s="2328" t="str">
        <x:v>https://pubmed.ncbi.nlm.nih.gov/32818475/</x:v>
      </x:c>
      <x:c r="O18" s="2302" t="str">
        <x:v>10.1016/j.ajog.2020.08.038; PMID 32818475</x:v>
      </x:c>
      <x:c r="P18" s="2329" t="str">
        <x:v>Candidate: population verification pending</x:v>
      </x:c>
      <x:c r="Q18" s="2302" t="str">
        <x:v>Male/female or men/women reported. Cisgender identity and absence of transgender participants are not established by the current extraction.</x:v>
      </x:c>
      <x:c r="R18" s="2330" t="str"/>
      <x:c r="S18" s="2302" t="str">
        <x:v>Patient care / access</x:v>
      </x:c>
      <x:c r="T18" s="2302" t="str">
        <x:v>Trial participants with provoked vestibulodynia</x:v>
      </x:c>
      <x:c r="U18" s="2302" t="str">
        <x:v>Women in an indication-specific trial; not a between-sex contrast</x:v>
      </x:c>
      <x:c r="V18" s="2302" t="str">
        <x:v>Not extracted as an analytic exposure</x:v>
      </x:c>
      <x:c r="W18" s="2302" t="str">
        <x:v>Physical therapy versus topical lidocaine</x:v>
      </x:c>
      <x:c r="X18" s="2302" t="str">
        <x:v>Clinical effectiveness within an eligible population does not establish reimbursement inequity.</x:v>
      </x:c>
    </x:row>
    <x:row r="19" ht="117" customHeight="1">
      <x:c r="A19" s="2296" t="str">
        <x:v>L-D01</x:v>
      </x:c>
      <x:c r="B19" s="2296" t="str">
        <x:v>Tabakin AL, et al. Vaginal Estrogen Prescribing and Cost Trends Among Medicare Part D Beneficiaries. Urogynecology (Phila). 2025;31(1):58-64.</x:v>
      </x:c>
      <x:c r="C19" s="2323" t="n">
        <x:v>2025</x:v>
      </x:c>
      <x:c r="D19" s="2296" t="str">
        <x:v>Retrospective analysis of Medicare Part D spending and prescriber datasets</x:v>
      </x:c>
      <x:c r="E19" s="2296" t="str">
        <x:v>Medicare beneficiaries receiving the vaginal-estrogen products studied</x:v>
      </x:c>
      <x:c r="F19" s="2296" t="str">
        <x:v>Medicare Part D</x:v>
      </x:c>
      <x:c r="G19" s="2296" t="str">
        <x:v>2016–2020</x:v>
      </x:c>
      <x:c r="H19" s="2296" t="str">
        <x:v>Reported spending per treated beneficiary rose from $688.52 to $1,027.55, while claims for the products studied decreased. Estrace, Yuvafem, Vagifem, and Estring dominated the reported product distribution.</x:v>
      </x:c>
      <x:c r="I19" s="2296" t="str">
        <x:v>Spending is not beneficiary out-of-pocket cost. Product selection and generic substitution may affect trends; observational counts do not establish cost-caused undertreatment or discriminatory denials.</x:v>
      </x:c>
      <x:c r="J19" s="2296" t="str">
        <x:v>Direct Medicare cost/utilization evidence; interpret product scope before generalizing to all vaginal estrogen.</x:v>
      </x:c>
      <x:c r="K19" s="2296" t="str">
        <x:v>D03</x:v>
      </x:c>
      <x:c r="L19" s="2296" t="str">
        <x:v>PubMed citation and abstract; no systematic full-text extraction</x:v>
      </x:c>
      <x:c r="M19" s="2324" t="str"/>
      <x:c r="N19" s="2327" t="str">
        <x:v>https://pubmed.ncbi.nlm.nih.gov/38527966/</x:v>
      </x:c>
      <x:c r="O19" s="2296" t="str">
        <x:v>10.1097/spv.0000000000001504; PMID 38527966</x:v>
      </x:c>
      <x:c r="P19" s="2329" t="str">
        <x:v>Candidate: population verification pending</x:v>
      </x:c>
      <x:c r="Q19" s="2296" t="str">
        <x:v>Male/female or men/women reported. Cisgender identity and absence of transgender participants are not established by the current extraction.</x:v>
      </x:c>
      <x:c r="R19" s="2330" t="str"/>
      <x:c r="S19" s="2296" t="str">
        <x:v>Patient care / access</x:v>
      </x:c>
      <x:c r="T19" s="2296" t="str">
        <x:v>Part D drug-product spending, claims, beneficiaries and prescriber data</x:v>
      </x:c>
      <x:c r="U19" s="2296" t="str">
        <x:v>Vaginal-estrogen indication; no between-sex effect extracted</x:v>
      </x:c>
      <x:c r="V19" s="2296" t="str">
        <x:v>Prescriber data source; no physician-gender effect extracted</x:v>
      </x:c>
      <x:c r="W19" s="2296" t="str">
        <x:v>Selected vaginal-estrogen products and spending/utilization over time</x:v>
      </x:c>
      <x:c r="X19" s="2296" t="str">
        <x:v>Use of prescriber files does not make this a physician-gender study; product spending is not patient out-of-pocket cost.</x:v>
      </x:c>
    </x:row>
    <x:row r="20" ht="117" customHeight="1">
      <x:c r="A20" s="2302" t="str">
        <x:v>L-D02</x:v>
      </x:c>
      <x:c r="B20" s="2302" t="str">
        <x:v>Baik SH, et al. Use of menopausal hormone therapy beyond age 65 years and its effects on women's health outcomes by types, routes, and doses. Menopause. 2024;31(5):363-371.</x:v>
      </x:c>
      <x:c r="C20" s="2325" t="n">
        <x:v>2024</x:v>
      </x:c>
      <x:c r="D20" s="2302" t="str">
        <x:v>Large observational cohort with time-varying adjusted Cox models</x:v>
      </x:c>
      <x:c r="E20" s="2302" t="str">
        <x:v>Approximately 10 million senior women in Medicare records</x:v>
      </x:c>
      <x:c r="F20" s="2302" t="str">
        <x:v>Medicare</x:v>
      </x:c>
      <x:c r="G20" s="2302" t="str">
        <x:v>2007–2020</x:v>
      </x:c>
      <x:c r="H20" s="2302" t="str">
        <x:v>Estrogen monotherapy after 65 was associated with lower mortality than never use/discontinuation (adjusted HR 0.81). Associations differed by hormone combination, route, and dose.</x:v>
      </x:c>
      <x:c r="I20" s="2302" t="str">
        <x:v>Residual confounding, treatment selection, and healthy-user effects prevent causal claims. This is not a randomized initiation trial or a study of coverage denials.</x:v>
      </x:c>
      <x:c r="J20" s="2302" t="str">
        <x:v>Direct Medicare outcomes research counters blanket age-based assumptions; interpret alongside randomized evidence and formulation-specific risk.</x:v>
      </x:c>
      <x:c r="K20" s="2302" t="str">
        <x:v>D01, D02, D04</x:v>
      </x:c>
      <x:c r="L20" s="2302" t="str">
        <x:v>PubMed citation and abstract; no systematic full-text extraction</x:v>
      </x:c>
      <x:c r="M20" s="2324" t="str"/>
      <x:c r="N20" s="2328" t="str">
        <x:v>https://pubmed.ncbi.nlm.nih.gov/38595196/</x:v>
      </x:c>
      <x:c r="O20" s="2302" t="str">
        <x:v>10.1097/gme.0000000000002335; PMID 38595196</x:v>
      </x:c>
      <x:c r="P20" s="2329" t="str">
        <x:v>Candidate: population verification pending</x:v>
      </x:c>
      <x:c r="Q20" s="2302" t="str">
        <x:v>Male/female or men/women reported. Cisgender identity and absence of transgender participants are not established by the current extraction.</x:v>
      </x:c>
      <x:c r="R20" s="2330" t="str"/>
      <x:c r="S20" s="2302" t="str">
        <x:v>Patient care / access</x:v>
      </x:c>
      <x:c r="T20" s="2302" t="str">
        <x:v>Medicare beneficiary records and treatment exposure over time</x:v>
      </x:c>
      <x:c r="U20" s="2302" t="str">
        <x:v>Senior women; population restriction rather than between-sex comparison</x:v>
      </x:c>
      <x:c r="V20" s="2302" t="str">
        <x:v>Not extracted as an analytic exposure</x:v>
      </x:c>
      <x:c r="W20" s="2302" t="str">
        <x:v>Hormone treatment, formulation, route and dose versus nonuse/discontinuation</x:v>
      </x:c>
      <x:c r="X20" s="2302" t="str">
        <x:v>Observational treatment-outcome associations do not estimate sex-based reimbursement or prove causal treatment effects.</x:v>
      </x:c>
    </x:row>
    <x:row r="21" ht="117" customHeight="1">
      <x:c r="A21" s="2296" t="str">
        <x:v>L-D03</x:v>
      </x:c>
      <x:c r="B21" s="2296" t="str">
        <x:v>Mitchell CM, et al. Efficacy of Vaginal Estradiol or Vaginal Moisturizer vs Placebo for Treating Postmenopausal Vulvovaginal Symptoms: A Randomized Clinical Trial. JAMA Intern Med. 2018;178(5):681-690.</x:v>
      </x:c>
      <x:c r="C21" s="2323" t="n">
        <x:v>2018</x:v>
      </x:c>
      <x:c r="D21" s="2296" t="str">
        <x:v>Randomized double-blind three-group trial; 12 weeks</x:v>
      </x:c>
      <x:c r="E21" s="2296" t="str">
        <x:v>302 postmenopausal women with moderate-to-severe vulvovaginal symptoms</x:v>
      </x:c>
      <x:c r="F21" s="2296" t="str">
        <x:v>Clinical trial; not a payer-policy study</x:v>
      </x:c>
      <x:c r="G21" s="2296" t="str">
        <x:v>Trial reported 2018</x:v>
      </x:c>
      <x:c r="H21" s="2296" t="str">
        <x:v>Vaginal estradiol 10 mcg tablets and moisturizer did not reduce the most bothersome symptom more than dual placebo over 12 weeks.</x:v>
      </x:c>
      <x:c r="I21" s="2296" t="str">
        <x:v>One formulation and short follow-up; substantial placebo improvement. Does not prove all vaginal-estrogen regimens are ineffective or determine treatment for each patient.</x:v>
      </x:c>
      <x:c r="J21" s="2296" t="str">
        <x:v>Essential counterevidence; clinical uncertainty must remain visible when interpreting access restrictions.</x:v>
      </x:c>
      <x:c r="K21" s="2296" t="str">
        <x:v>D03</x:v>
      </x:c>
      <x:c r="L21" s="2296" t="str">
        <x:v>PubMed citation and abstract; no systematic full-text extraction</x:v>
      </x:c>
      <x:c r="M21" s="2324" t="str"/>
      <x:c r="N21" s="2327" t="str">
        <x:v>https://pubmed.ncbi.nlm.nih.gov/29554173/</x:v>
      </x:c>
      <x:c r="O21" s="2296" t="str">
        <x:v>10.1001/jamainternmed.2018.0116; PMID 29554173</x:v>
      </x:c>
      <x:c r="P21" s="2329" t="str">
        <x:v>Candidate: population verification pending</x:v>
      </x:c>
      <x:c r="Q21" s="2296" t="str">
        <x:v>Male/female or men/women reported. Cisgender identity and absence of transgender participants are not established by the current extraction.</x:v>
      </x:c>
      <x:c r="R21" s="2330" t="str"/>
      <x:c r="S21" s="2296" t="str">
        <x:v>Patient care / access</x:v>
      </x:c>
      <x:c r="T21" s="2296" t="str">
        <x:v>Randomized trial participants</x:v>
      </x:c>
      <x:c r="U21" s="2296" t="str">
        <x:v>Postmenopausal women; population restriction rather than between-sex comparison</x:v>
      </x:c>
      <x:c r="V21" s="2296" t="str">
        <x:v>Not extracted as an analytic exposure</x:v>
      </x:c>
      <x:c r="W21" s="2296" t="str">
        <x:v>Vaginal estradiol, moisturizer and placebo</x:v>
      </x:c>
      <x:c r="X21" s="2296" t="str">
        <x:v>A within-population clinical null result does not determine Medicare coverage or demonstrate reimbursement parity.</x:v>
      </x:c>
    </x:row>
    <x:row r="22" ht="117" customHeight="1">
      <x:c r="A22" s="2302" t="str">
        <x:v>L-D04</x:v>
      </x:c>
      <x:c r="B22" s="2302" t="str">
        <x:v>Danan ER, et al. Hormonal Treatments and Vaginal Moisturizers for Genitourinary Syndrome of Menopause : A Systematic Review. Ann Intern Med. 2024;177(10):1400-1414.</x:v>
      </x:c>
      <x:c r="C22" s="2325" t="n">
        <x:v>2024</x:v>
      </x:c>
      <x:c r="D22" s="2302" t="str">
        <x:v>Systematic review of 46 randomized trials; no pooled meta-analysis because of heterogeneity</x:v>
      </x:c>
      <x:c r="E22" s="2302" t="str">
        <x:v>Postmenopausal women with at least one GSM symptom</x:v>
      </x:c>
      <x:c r="F22" s="2302" t="str">
        <x:v>Mixed trial settings; AHRQ/PCORI-funded review, not Medicare coverage analysis</x:v>
      </x:c>
      <x:c r="G22" s="2302" t="str">
        <x:v>Search through December 11, 2023</x:v>
      </x:c>
      <x:c r="H22" s="2302" t="str">
        <x:v>Vaginal estrogen, vaginal DHEA, and oral ospemifene may improve selected GSM symptoms compared with placebo; certainty was generally low. Moisturizers may improve dryness.</x:v>
      </x:c>
      <x:c r="I22" s="2302" t="str">
        <x:v>Most trials lasted 12 weeks or less; inconsistent outcomes and limited long-term safety data. Few enrolled women with prior cancer.</x:v>
      </x:c>
      <x:c r="J22" s="2302" t="str">
        <x:v>Supports plausible clinical benefit while preserving uncertainty; does not itself establish coverage or comparative cost-effectiveness.</x:v>
      </x:c>
      <x:c r="K22" s="2302" t="str">
        <x:v>D03, D07, D08</x:v>
      </x:c>
      <x:c r="L22" s="2302" t="str">
        <x:v>PubMed citation and abstract; no systematic full-text extraction</x:v>
      </x:c>
      <x:c r="M22" s="2324" t="str"/>
      <x:c r="N22" s="2328" t="str">
        <x:v>https://pubmed.ncbi.nlm.nih.gov/39250810/</x:v>
      </x:c>
      <x:c r="O22" s="2302" t="str">
        <x:v>10.7326/annals-24-00610; PMID 39250810</x:v>
      </x:c>
      <x:c r="P22" s="2329" t="str">
        <x:v>Candidate: population verification pending</x:v>
      </x:c>
      <x:c r="Q22" s="2302" t="str">
        <x:v>Male/female or men/women reported. Cisgender identity and absence of transgender participants are not established by the current extraction.</x:v>
      </x:c>
      <x:c r="R22" s="2330" t="str"/>
      <x:c r="S22" s="2302" t="str">
        <x:v>Patient care / access</x:v>
      </x:c>
      <x:c r="T22" s="2302" t="str">
        <x:v>Randomized trials synthesized in a systematic review</x:v>
      </x:c>
      <x:c r="U22" s="2302" t="str">
        <x:v>Postmenopausal women with GSM; indication-specific evidence</x:v>
      </x:c>
      <x:c r="V22" s="2302" t="str">
        <x:v>Not extracted as an analytic exposure</x:v>
      </x:c>
      <x:c r="W22" s="2302" t="str">
        <x:v>GSM treatments versus placebo or alternatives</x:v>
      </x:c>
      <x:c r="X22" s="2302" t="str">
        <x:v>Treatment benefit and certainty are clinical evidence; no reimbursement or between-sex effect is extracted.</x:v>
      </x:c>
    </x:row>
    <x:row r="23" ht="117" customHeight="1">
      <x:c r="A23" s="2296" t="str">
        <x:v>L-D05</x:v>
      </x:c>
      <x:c r="B23" s="2296" t="str">
        <x:v>Lederman S, et al. Fezolinetant for treatment of moderate-to-severe vasomotor symptoms associated with menopause (SKYLIGHT 1): a phase 3 randomised controlled study. Lancet. 2023;401(10382):1091-1102.</x:v>
      </x:c>
      <x:c r="C23" s="2323" t="n">
        <x:v>2023</x:v>
      </x:c>
      <x:c r="D23" s="2296" t="str">
        <x:v>Phase 3 randomized placebo-controlled trial; 12-week controlled phase and 40-week extension</x:v>
      </x:c>
      <x:c r="E23" s="2296" t="str">
        <x:v>Women aged 40–65 with at least seven moderate-to-severe hot flashes daily</x:v>
      </x:c>
      <x:c r="F23" s="2296" t="str">
        <x:v>Industry-sponsored trial; not payer research</x:v>
      </x:c>
      <x:c r="G23" s="2296" t="str">
        <x:v>Enrollment July 2019–August 2021</x:v>
      </x:c>
      <x:c r="H23" s="2296" t="str">
        <x:v>At week 12, fezolinetant 45 mg reduced daily vasomotor-symptom frequency by approximately 2.55 more episodes than placebo and improved severity.</x:v>
      </x:c>
      <x:c r="I23" s="2296" t="str">
        <x:v>Participants older than 65 were excluded. Trial efficacy does not resolve real-world affordability or rare liver injury subsequently identified through safety surveillance.</x:v>
      </x:c>
      <x:c r="J23" s="2296" t="str">
        <x:v>Evidence for a nonhormonal alternative; coverage rules need separate CMS/plan evidence.</x:v>
      </x:c>
      <x:c r="K23" s="2296" t="str">
        <x:v>D05</x:v>
      </x:c>
      <x:c r="L23" s="2296" t="str">
        <x:v>PubMed citation and abstract; no systematic full-text extraction</x:v>
      </x:c>
      <x:c r="M23" s="2324" t="str"/>
      <x:c r="N23" s="2327" t="str">
        <x:v>https://pubmed.ncbi.nlm.nih.gov/36924778/</x:v>
      </x:c>
      <x:c r="O23" s="2296" t="str">
        <x:v>10.1016/s0140-6736(23)00085-5; PMID 36924778</x:v>
      </x:c>
      <x:c r="P23" s="2329" t="str">
        <x:v>Candidate: population verification pending</x:v>
      </x:c>
      <x:c r="Q23" s="2296" t="str">
        <x:v>Male/female or men/women reported. Cisgender identity and absence of transgender participants are not established by the current extraction.</x:v>
      </x:c>
      <x:c r="R23" s="2330" t="str"/>
      <x:c r="S23" s="2296" t="str">
        <x:v>Patient care / access</x:v>
      </x:c>
      <x:c r="T23" s="2296" t="str">
        <x:v>Randomized trial participants with menopausal symptoms</x:v>
      </x:c>
      <x:c r="U23" s="2296" t="str">
        <x:v>Women aged 40–65; indication-specific population</x:v>
      </x:c>
      <x:c r="V23" s="2296" t="str">
        <x:v>Not extracted as an analytic exposure</x:v>
      </x:c>
      <x:c r="W23" s="2296" t="str">
        <x:v>Fezolinetant versus placebo</x:v>
      </x:c>
      <x:c r="X23" s="2296" t="str">
        <x:v>Treatment efficacy is not a coverage comparison; applicability to older Medicare beneficiaries requires assessment.</x:v>
      </x:c>
    </x:row>
    <x:row r="24" ht="117" customHeight="1">
      <x:c r="A24" s="2302" t="str">
        <x:v>L-D06</x:v>
      </x:c>
      <x:c r="B24" s="2302" t="str">
        <x:v>Simon JA, et al. Low-dose paroxetine 7.5 mg for menopausal vasomotor symptoms: two randomized controlled trials. Menopause. 2013;20(10):1027-1035.</x:v>
      </x:c>
      <x:c r="C24" s="2325" t="n">
        <x:v>2013</x:v>
      </x:c>
      <x:c r="D24" s="2302" t="str">
        <x:v>Two randomized double-blind placebo-controlled phase 3 trials lasting 12 and 24 weeks</x:v>
      </x:c>
      <x:c r="E24" s="2302" t="str">
        <x:v>Postmenopausal women with moderate-to-severe vasomotor symptoms; 591 paroxetine and 593 placebo participants</x:v>
      </x:c>
      <x:c r="F24" s="2302" t="str">
        <x:v>Clinical trials; not payer-policy research</x:v>
      </x:c>
      <x:c r="G24" s="2302" t="str">
        <x:v>Trials reported 2013</x:v>
      </x:c>
      <x:c r="H24" s="2302" t="str">
        <x:v>Paroxetine 7.5 mg reduced symptom frequency at weeks 4 and 12. The 24-week study met all four primary endpoints; the shorter study met three of four.</x:v>
      </x:c>
      <x:c r="I24" s="2302" t="str">
        <x:v>One severity endpoint was not significant in the shorter trial. Evidence concerns a particular low-dose formulation, not all antidepressant doses or all Medicare patients.</x:v>
      </x:c>
      <x:c r="J24" s="2302" t="str">
        <x:v>Establishes a nonhormonal treatment option; cannot establish its formulary status.</x:v>
      </x:c>
      <x:c r="K24" s="2302" t="str">
        <x:v>D06</x:v>
      </x:c>
      <x:c r="L24" s="2302" t="str">
        <x:v>PubMed citation and abstract; no systematic full-text extraction</x:v>
      </x:c>
      <x:c r="M24" s="2324" t="str"/>
      <x:c r="N24" s="2328" t="str">
        <x:v>https://pubmed.ncbi.nlm.nih.gov/24045678/</x:v>
      </x:c>
      <x:c r="O24" s="2302" t="str">
        <x:v>10.1097/gme.0b013e3182a66aa7; PMID 24045678</x:v>
      </x:c>
      <x:c r="P24" s="2329" t="str">
        <x:v>Candidate: population verification pending</x:v>
      </x:c>
      <x:c r="Q24" s="2302" t="str">
        <x:v>Male/female or men/women reported. Cisgender identity and absence of transgender participants are not established by the current extraction.</x:v>
      </x:c>
      <x:c r="R24" s="2330" t="str"/>
      <x:c r="S24" s="2302" t="str">
        <x:v>Patient care / access</x:v>
      </x:c>
      <x:c r="T24" s="2302" t="str">
        <x:v>Participants in two randomized trials</x:v>
      </x:c>
      <x:c r="U24" s="2302" t="str">
        <x:v>Postmenopausal women; indication-specific population</x:v>
      </x:c>
      <x:c r="V24" s="2302" t="str">
        <x:v>Not extracted as an analytic exposure</x:v>
      </x:c>
      <x:c r="W24" s="2302" t="str">
        <x:v>Low-dose paroxetine versus placebo</x:v>
      </x:c>
      <x:c r="X24" s="2302" t="str">
        <x:v>Clinical benefit does not establish formulary access or a between-sex disparity.</x:v>
      </x:c>
    </x:row>
    <x:row r="25" ht="117" customHeight="1">
      <x:c r="A25" s="2296" t="str">
        <x:v>L-D07</x:v>
      </x:c>
      <x:c r="B25" s="2296" t="str">
        <x:v>Jaspers L, et al. Efficacy and Safety of Flibanserin for the Treatment of Hypoactive Sexual Desire Disorder in Women: A Systematic Review and Meta-analysis. JAMA Intern Med. 2016;176(4):453-462.</x:v>
      </x:c>
      <x:c r="C25" s="2323" t="n">
        <x:v>2016</x:v>
      </x:c>
      <x:c r="D25" s="2296" t="str">
        <x:v>Systematic review and meta-analysis of five published and three unpublished randomized trials</x:v>
      </x:c>
      <x:c r="E25" s="2296" t="str">
        <x:v>5,914 women with HSDD; eligible studies included premenopausal and postmenopausal women</x:v>
      </x:c>
      <x:c r="F25" s="2296" t="str">
        <x:v>Mixed trials; no Medicare reimbursement analysis</x:v>
      </x:c>
      <x:c r="G25" s="2296" t="str">
        <x:v>Search through June 17, 2015</x:v>
      </x:c>
      <x:c r="H25" s="2296" t="str">
        <x:v>Flibanserin 100 mg produced about 0.49 additional satisfying sexual events monthly versus placebo. Discontinuation due to adverse effects increased (risk ratio 2.19), alongside dizziness, somnolence, nausea, and fatigue.</x:v>
      </x:c>
      <x:c r="I25" s="2296" t="str">
        <x:v>Review graded overall evidence very low; population diversity and comorbidity representation were limited. It predates the December 2025 expanded FDA label.</x:v>
      </x:c>
      <x:c r="J25" s="2296" t="str">
        <x:v>Documents both modest average benefit and harms; neither result overrides the statutory Part D exclusion.</x:v>
      </x:c>
      <x:c r="K25" s="2296" t="str">
        <x:v>D10</x:v>
      </x:c>
      <x:c r="L25" s="2296" t="str">
        <x:v>PubMed citation and abstract; no systematic full-text extraction</x:v>
      </x:c>
      <x:c r="M25" s="2324" t="str"/>
      <x:c r="N25" s="2327" t="str">
        <x:v>https://pubmed.ncbi.nlm.nih.gov/26927498/</x:v>
      </x:c>
      <x:c r="O25" s="2296" t="str">
        <x:v>10.1001/jamainternmed.2015.8565; PMID 26927498</x:v>
      </x:c>
      <x:c r="P25" s="2329" t="str">
        <x:v>Candidate: population verification pending</x:v>
      </x:c>
      <x:c r="Q25" s="2296" t="str">
        <x:v>Male/female or men/women reported. Cisgender identity and absence of transgender participants are not established by the current extraction.</x:v>
      </x:c>
      <x:c r="R25" s="2330" t="str"/>
      <x:c r="S25" s="2296" t="str">
        <x:v>Patient care / access</x:v>
      </x:c>
      <x:c r="T25" s="2296" t="str">
        <x:v>Published and unpublished randomized trials in a meta-analysis</x:v>
      </x:c>
      <x:c r="U25" s="2296" t="str">
        <x:v>Women with HSDD; indication-specific population</x:v>
      </x:c>
      <x:c r="V25" s="2296" t="str">
        <x:v>Not extracted as an analytic exposure</x:v>
      </x:c>
      <x:c r="W25" s="2296" t="str">
        <x:v>Flibanserin versus placebo</x:v>
      </x:c>
      <x:c r="X25" s="2296" t="str">
        <x:v>Benefits and harms within women do not measure physician gender or comparative Medicare reimbursement.</x:v>
      </x:c>
    </x:row>
    <x:row r="26" ht="117" customHeight="1">
      <x:c r="A26" s="2302" t="str">
        <x:v>L-D08</x:v>
      </x:c>
      <x:c r="B26" s="2302" t="str">
        <x:v>Kingsberg SA, et al. Bremelanotide for the Treatment of Hypoactive Sexual Desire Disorder: Two Randomized Phase 3 Trials. Obstet Gynecol. 2019;134(5):899-908.</x:v>
      </x:c>
      <x:c r="C26" s="2325" t="n">
        <x:v>2019</x:v>
      </x:c>
      <x:c r="D26" s="2302" t="str">
        <x:v>Two randomized placebo-controlled phase 3 trials; 24-week core phase</x:v>
      </x:c>
      <x:c r="E26" s="2302" t="str">
        <x:v>1,267 randomized premenopausal women; mean age 39; 85.6% White</x:v>
      </x:c>
      <x:c r="F26" s="2302" t="str">
        <x:v>Clinical trials; not payer-policy research</x:v>
      </x:c>
      <x:c r="G26" s="2302" t="str">
        <x:v>2015–2016</x:v>
      </x:c>
      <x:c r="H26" s="2302" t="str">
        <x:v>Bremelanotide improved measured sexual desire and associated distress versus placebo. Nausea, flushing, and headache occurred more often with active treatment.</x:v>
      </x:c>
      <x:c r="I26" s="2302" t="str">
        <x:v>Demographics and indication limit extrapolation to older Medicare women. Changes in desire/distress do not measure reimbursement, affordability, or unequal access.</x:v>
      </x:c>
      <x:c r="J26" s="2302" t="str">
        <x:v>Demonstrates a female sexual-health therapy with clinical benefit and tolerability tradeoffs, despite the shared statutory exclusion.</x:v>
      </x:c>
      <x:c r="K26" s="2302" t="str">
        <x:v>D11</x:v>
      </x:c>
      <x:c r="L26" s="2302" t="str">
        <x:v>PubMed citation and abstract; no systematic full-text extraction</x:v>
      </x:c>
      <x:c r="M26" s="2324" t="str"/>
      <x:c r="N26" s="2328" t="str">
        <x:v>https://pubmed.ncbi.nlm.nih.gov/31599840/</x:v>
      </x:c>
      <x:c r="O26" s="2302" t="str">
        <x:v>10.1097/aog.0000000000003500; PMID 31599840</x:v>
      </x:c>
      <x:c r="P26" s="2329" t="str">
        <x:v>Candidate: population verification pending</x:v>
      </x:c>
      <x:c r="Q26" s="2302" t="str">
        <x:v>Male/female or men/women reported. Cisgender identity and absence of transgender participants are not established by the current extraction.</x:v>
      </x:c>
      <x:c r="R26" s="2330" t="str"/>
      <x:c r="S26" s="2302" t="str">
        <x:v>Patient care / access</x:v>
      </x:c>
      <x:c r="T26" s="2302" t="str">
        <x:v>Participants in two randomized trials</x:v>
      </x:c>
      <x:c r="U26" s="2302" t="str">
        <x:v>Premenopausal women with HSDD; indication-specific population</x:v>
      </x:c>
      <x:c r="V26" s="2302" t="str">
        <x:v>Not extracted as an analytic exposure</x:v>
      </x:c>
      <x:c r="W26" s="2302" t="str">
        <x:v>Bremelanotide versus placebo</x:v>
      </x:c>
      <x:c r="X26" s="2302" t="str">
        <x:v>Clinical response and adverse effects do not establish sex-based coverage differences.</x:v>
      </x:c>
    </x:row>
    <x:row r="27" ht="117" customHeight="1">
      <x:c r="A27" s="2296" t="str">
        <x:v>L-D09</x:v>
      </x:c>
      <x:c r="B27" s="2296" t="str">
        <x:v>Lincoff AM, et al. Cardiovascular Safety of Testosterone-Replacement Therapy. N Engl J Med. 2023;389(2):107-117.</x:v>
      </x:c>
      <x:c r="C27" s="2323" t="n">
        <x:v>2023</x:v>
      </x:c>
      <x:c r="D27" s="2296" t="str">
        <x:v>Randomized double-blind placebo-controlled noninferiority trial</x:v>
      </x:c>
      <x:c r="E27" s="2296" t="str">
        <x:v>5,246 men aged 45–80 with hypogonadism and established or elevated cardiovascular risk</x:v>
      </x:c>
      <x:c r="F27" s="2296" t="str">
        <x:v>Clinical trial; not Medicare coverage analysis</x:v>
      </x:c>
      <x:c r="G27" s="2296" t="str">
        <x:v>Published 2023; mean follow-up approximately 33 months</x:v>
      </x:c>
      <x:c r="H27" s="2296" t="str">
        <x:v>Testosterone gel was noninferior to placebo for major adverse cardiovascular events. Atrial fibrillation, acute kidney injury, and pulmonary embolism occurred more often in the testosterone group.</x:v>
      </x:c>
      <x:c r="I27" s="2296" t="str">
        <x:v>Selected symptomatic men with repeatedly low testosterone; findings do not establish long-term safety in every population, formulation, or indication.</x:v>
      </x:c>
      <x:c r="J27" s="2296" t="str">
        <x:v>Comparator evidence: coverage can coexist with indication limits, monitoring, and meaningful safety concerns.</x:v>
      </x:c>
      <x:c r="K27" s="2296" t="str">
        <x:v>D12</x:v>
      </x:c>
      <x:c r="L27" s="2296" t="str">
        <x:v>PubMed citation and abstract; no systematic full-text extraction</x:v>
      </x:c>
      <x:c r="M27" s="2324" t="str"/>
      <x:c r="N27" s="2327" t="str">
        <x:v>https://pubmed.ncbi.nlm.nih.gov/37326322/</x:v>
      </x:c>
      <x:c r="O27" s="2296" t="str">
        <x:v>10.1056/nejmoa2215025; PMID 37326322</x:v>
      </x:c>
      <x:c r="P27" s="2329" t="str">
        <x:v>Candidate: population verification pending</x:v>
      </x:c>
      <x:c r="Q27" s="2296" t="str">
        <x:v>Male/female or men/women reported. Cisgender identity and absence of transgender participants are not established by the current extraction.</x:v>
      </x:c>
      <x:c r="R27" s="2330" t="str"/>
      <x:c r="S27" s="2296" t="str">
        <x:v>Patient care / access</x:v>
      </x:c>
      <x:c r="T27" s="2296" t="str">
        <x:v>Randomized trial participants</x:v>
      </x:c>
      <x:c r="U27" s="2296" t="str">
        <x:v>Men with hypogonadism and cardiovascular risk; indication-specific population</x:v>
      </x:c>
      <x:c r="V27" s="2296" t="str">
        <x:v>Not extracted as an analytic exposure</x:v>
      </x:c>
      <x:c r="W27" s="2296" t="str">
        <x:v>Testosterone gel versus placebo</x:v>
      </x:c>
      <x:c r="X27" s="2296" t="str">
        <x:v>Male-only safety evidence supplies clinical context, not a matched female comparison or payment-disparity estimate.</x:v>
      </x:c>
    </x:row>
    <x:row r="28" ht="117" customHeight="1">
      <x:c r="A28" s="2302" t="str">
        <x:v>L-D10</x:v>
      </x:c>
      <x:c r="B28" s="2302" t="str">
        <x:v>Rossouw JE, et al. Risks and benefits of estrogen plus progestin in healthy postmenopausal women: principal results From the Women's Health Initiative randomized controlled trial. JAMA. 2002;288(3):321-333.</x:v>
      </x:c>
      <x:c r="C28" s="2325" t="n">
        <x:v>2002</x:v>
      </x:c>
      <x:c r="D28" s="2302" t="str">
        <x:v>Randomized placebo-controlled primary-prevention trial; stopped early after mean 5.2 years</x:v>
      </x:c>
      <x:c r="E28" s="2302" t="str">
        <x:v>16,608 postmenopausal women aged 50–79 with an intact uterus</x:v>
      </x:c>
      <x:c r="F28" s="2302" t="str">
        <x:v>Federally supported clinical trial; not Medicare policy research</x:v>
      </x:c>
      <x:c r="G28" s="2302" t="str">
        <x:v>Recruitment 1993–1998; stopped 2002</x:v>
      </x:c>
      <x:c r="H28" s="2302" t="str">
        <x:v>Oral conjugated equine estrogens plus medroxyprogesterone increased important cardiovascular and breast-cancer outcomes while reducing fractures; the overall balance did not favor use for primary chronic-disease prevention.</x:v>
      </x:c>
      <x:c r="I28" s="2302" t="str">
        <x:v>A specific oral combination and prevention question; cannot generalize directly to local vaginal estrogen, transdermal estradiol, other progestogens, or every symptom-treatment decision.</x:v>
      </x:c>
      <x:c r="J28" s="2302" t="str">
        <x:v>Counterbalances favorable observational findings; historic evidence and updated labeling must be interpreted by regimen and indication.</x:v>
      </x:c>
      <x:c r="K28" s="2302" t="str">
        <x:v>D01, D02, D04</x:v>
      </x:c>
      <x:c r="L28" s="2302" t="str">
        <x:v>PubMed citation and abstract; no systematic full-text extraction</x:v>
      </x:c>
      <x:c r="M28" s="2324" t="str"/>
      <x:c r="N28" s="2328" t="str">
        <x:v>https://pubmed.ncbi.nlm.nih.gov/12117397/</x:v>
      </x:c>
      <x:c r="O28" s="2302" t="str">
        <x:v>10.1001/jama.288.3.321; PMID 12117397</x:v>
      </x:c>
      <x:c r="P28" s="2329" t="str">
        <x:v>Candidate: population verification pending</x:v>
      </x:c>
      <x:c r="Q28" s="2302" t="str">
        <x:v>Male/female or men/women reported. Cisgender identity and absence of transgender participants are not established by the current extraction.</x:v>
      </x:c>
      <x:c r="R28" s="2330" t="str"/>
      <x:c r="S28" s="2302" t="str">
        <x:v>Patient care / access</x:v>
      </x:c>
      <x:c r="T28" s="2302" t="str">
        <x:v>Randomized trial participants</x:v>
      </x:c>
      <x:c r="U28" s="2302" t="str">
        <x:v>Postmenopausal women with a uterus; sex/anatomy-defined eligibility</x:v>
      </x:c>
      <x:c r="V28" s="2302" t="str">
        <x:v>Not extracted as an analytic exposure</x:v>
      </x:c>
      <x:c r="W28" s="2302" t="str">
        <x:v>Combined hormone regimen versus placebo for primary prevention</x:v>
      </x:c>
      <x:c r="X28" s="2302" t="str">
        <x:v>Regimen-specific benefits and harms do not establish reimbursement differences or apply to every menopausal indication.</x:v>
      </x:c>
    </x:row>
    <x:row r="29" ht="117" customHeight="1">
      <x:c r="A29" s="2296" t="str">
        <x:v>L-G04</x:v>
      </x:c>
      <x:c r="B29" s="2296" t="str">
        <x:v>Curtis JR, et al. Longitudinal trends in use of bone mass measurement among older americans, 1999-2005. J Bone Miner Res. 2008;23(7):1061-1067.</x:v>
      </x:c>
      <x:c r="C29" s="2323" t="n">
        <x:v>2008</x:v>
      </x:c>
      <x:c r="D29" s="2296" t="str">
        <x:v>Longitudinal claims analysis, 5% Medicare sample</x:v>
      </x:c>
      <x:c r="E29" s="2296" t="str">
        <x:v>Beneficiaries aged 65 and older</x:v>
      </x:c>
      <x:c r="F29" s="2296" t="str">
        <x:v>Medicare</x:v>
      </x:c>
      <x:c r="G29" s="2296" t="str">
        <x:v>1999–2005</x:v>
      </x:c>
      <x:c r="H29" s="2296" t="str">
        <x:v>Across pooled years, 30.0% of women and 4.4% of men in analyzed white/Black populations received central DXA at least once.</x:v>
      </x:c>
      <x:c r="I29" s="2296" t="str">
        <x:v>Historical utilization differences do not isolate policy effects, need or appropriate clinical eligibility.</x:v>
      </x:c>
      <x:c r="J29" s="2296" t="str">
        <x:v>Documents a Medicare sex gap in bone testing without proving discrimination.</x:v>
      </x:c>
      <x:c r="K29" s="2296" t="str">
        <x:v>G04, G05</x:v>
      </x:c>
      <x:c r="L29" s="2296" t="str">
        <x:v>Full-text sections</x:v>
      </x:c>
      <x:c r="M29" s="2324" t="str"/>
      <x:c r="N29" s="2327" t="str">
        <x:v>https://pmc.ncbi.nlm.nih.gov/articles/PMC2497454/</x:v>
      </x:c>
      <x:c r="O29" s="2296" t="str">
        <x:v>10.1359/jbmr.080232; PMID 18302495</x:v>
      </x:c>
      <x:c r="P29" s="2329" t="str">
        <x:v>Candidate: population verification pending</x:v>
      </x:c>
      <x:c r="Q29" s="2296" t="str">
        <x:v>Male/female or men/women reported. Cisgender identity and absence of transgender participants are not established by the current extraction.</x:v>
      </x:c>
      <x:c r="R29" s="2330" t="str"/>
      <x:c r="S29" s="2296" t="str">
        <x:v>Patient care / access</x:v>
      </x:c>
      <x:c r="T29" s="2296" t="str">
        <x:v>Medicare beneficiaries in longitudinal claims</x:v>
      </x:c>
      <x:c r="U29" s="2296" t="str">
        <x:v>Recorded patient sex is a direct male–female comparison; identity not established</x:v>
      </x:c>
      <x:c r="V29" s="2296" t="str">
        <x:v>Not extracted as an analytic exposure</x:v>
      </x:c>
      <x:c r="W29" s="2296" t="str">
        <x:v>DXA utilization by patient sex and other demographic strata</x:v>
      </x:c>
      <x:c r="X29" s="2296" t="str">
        <x:v>Utilization differences do not isolate coverage, clinical need or discrimination.</x:v>
      </x:c>
    </x:row>
    <x:row r="30" ht="117" customHeight="1">
      <x:c r="A30" s="2302" t="str">
        <x:v>L-G05</x:v>
      </x:c>
      <x:c r="B30" s="2302" t="str">
        <x:v>Pasquale MK, et al. Evaluation of an Osteoporosis Outreach Program for Men With a Fragility Fracture and Their Physicians. Med Care. 2021;59(2):148-154.</x:v>
      </x:c>
      <x:c r="C30" s="2325" t="n">
        <x:v>2021</x:v>
      </x:c>
      <x:c r="D30" s="2302" t="str">
        <x:v>Randomized outreach intervention; claims follow-up</x:v>
      </x:c>
      <x:c r="E30" s="2302" t="str">
        <x:v>10,934 men randomized; 7,842 analyzed (3,977 intervention; 3,865 control) after 3,092 post-assignment exclusions</x:v>
      </x:c>
      <x:c r="F30" s="2302" t="str">
        <x:v>Humana Medicare Advantage prescription-drug plans</x:v>
      </x:c>
      <x:c r="G30" s="2302" t="str">
        <x:v>Identification May 2016–May 2017; 12-month follow-up</x:v>
      </x:c>
      <x:c r="H30" s="2302" t="str">
        <x:v>BMD testing was 10.7% with outreach versus 4.9% without; osteoporosis treatment initiation was 4.0% versus 2.5%.</x:v>
      </x:c>
      <x:c r="I30" s="2302" t="str">
        <x:v>Single MA insurer; 28.3% excluded after assignment, including deaths/disenrollment. Selected untreated fracture patients; bundled communication intervention, no software-only effect or direct sex comparison. Process outcomes do not prove fracture reduction. Identity not established.</x:v>
      </x:c>
      <x:c r="J30" s="2302" t="str">
        <x:v>Shows delivery interventions can improve covered care for men.</x:v>
      </x:c>
      <x:c r="K30" s="2302" t="str">
        <x:v>G04, G05</x:v>
      </x:c>
      <x:c r="L30" s="2302" t="str">
        <x:v>Full main-text XML and tables reviewed on 2026-09-21; figure images and supplementary appendix not independently inspected</x:v>
      </x:c>
      <x:c r="M30" s="2324" t="str"/>
      <x:c r="N30" s="2328" t="str">
        <x:v>https://pmc.ncbi.nlm.nih.gov/articles/PMC7899217/</x:v>
      </x:c>
      <x:c r="O30" s="2302" t="str">
        <x:v>10.1097/mlr.0000000000001459; PMID 33273290</x:v>
      </x:c>
      <x:c r="P30" s="2329" t="str">
        <x:v>Candidate: population verification pending</x:v>
      </x:c>
      <x:c r="Q30" s="2302" t="str">
        <x:v>Male/female or men/women reported. Cisgender identity and absence of transgender participants are not established by the current extraction.</x:v>
      </x:c>
      <x:c r="R30" s="2330" t="str">
        <x:v>Provisional AI full-text update. Randomized N differs from analyzed N; no independent human appraisal or final identity eligibility decision.</x:v>
      </x:c>
      <x:c r="S30" s="2302" t="str">
        <x:v>Patient care / access</x:v>
      </x:c>
      <x:c r="T30" s="2302" t="str">
        <x:v>Male Medicare Advantage beneficiaries assigned to outreach</x:v>
      </x:c>
      <x:c r="U30" s="2302" t="str">
        <x:v>Men with fragility fractures; population restriction rather than between-sex comparison</x:v>
      </x:c>
      <x:c r="V30" s="2302" t="str">
        <x:v>Physicians receive outreach; no physician-gender effect extracted</x:v>
      </x:c>
      <x:c r="W30" s="2302" t="str">
        <x:v>Outreach versus usual care for bone testing and treatment</x:v>
      </x:c>
      <x:c r="X30" s="2302" t="str">
        <x:v>Physician participation in an intervention is not physician-gender analysis; no direct female comparator.</x:v>
      </x:c>
    </x:row>
    <x:row r="31" ht="117" customHeight="1">
      <x:c r="A31" s="2296" t="str">
        <x:v>L-G09</x:v>
      </x:c>
      <x:c r="B31" s="2296" t="str">
        <x:v>Bellerose M, et al. Coverage Gaps and Contraceptive Use Among Medicare Enrollees With Disabilities. JAMA Netw Open. 2025;8(6):e2517718.</x:v>
      </x:c>
      <x:c r="C31" s="2323" t="n">
        <x:v>2025</x:v>
      </x:c>
      <x:c r="D31" s="2296" t="str">
        <x:v>National claims comparison plus staggered-entry difference-in-differences</x:v>
      </x:c>
      <x:c r="E31" s="2296" t="str">
        <x:v>1,606,129 disabled women aged 20–49</x:v>
      </x:c>
      <x:c r="F31" s="2296" t="str">
        <x:v>Traditional Medicare, Medicare Advantage, Medicaid and dual enrollment</x:v>
      </x:c>
      <x:c r="G31" s="2296" t="str">
        <x:v>2016–2020</x:v>
      </x:c>
      <x:c r="H31" s="2296" t="str">
        <x:v>Gaining dual coverage was associated with a 3.9-percentage-point increase in contraceptive use (95% CI 3.5–4.3); short-acting methods accounted for the largest increase.</x:v>
      </x:c>
      <x:c r="I31" s="2296" t="str">
        <x:v>Observational transitions, claims-based measures and unmeasured cash purchases; not evidence of a male–female matched treatment effect.</x:v>
      </x:c>
      <x:c r="J31" s="2296" t="str">
        <x:v>Direct Medicare evidence connecting benefit gaps to reproductive-health access.</x:v>
      </x:c>
      <x:c r="K31" s="2296" t="str">
        <x:v>G08, G10, G13, G14</x:v>
      </x:c>
      <x:c r="L31" s="2296" t="str">
        <x:v>Full-text sections</x:v>
      </x:c>
      <x:c r="M31" s="2324" t="str"/>
      <x:c r="N31" s="2327" t="str">
        <x:v>https://pmc.ncbi.nlm.nih.gov/articles/PMC12199052/</x:v>
      </x:c>
      <x:c r="O31" s="2296" t="str">
        <x:v>10.1001/jamanetworkopen.2025.17718; PMID 40560583</x:v>
      </x:c>
      <x:c r="P31" s="2329" t="str">
        <x:v>Candidate: population verification pending</x:v>
      </x:c>
      <x:c r="Q31" s="2296" t="str">
        <x:v>Male/female or men/women reported. Cisgender identity and absence of transgender participants are not established by the current extraction.</x:v>
      </x:c>
      <x:c r="R31" s="2330" t="str"/>
      <x:c r="S31" s="2296" t="str">
        <x:v>Patient care / access</x:v>
      </x:c>
      <x:c r="T31" s="2296" t="str">
        <x:v>Disabled women in claims and coverage transitions</x:v>
      </x:c>
      <x:c r="U31" s="2296" t="str">
        <x:v>Women aged 20–49; population restriction rather than between-sex comparison</x:v>
      </x:c>
      <x:c r="V31" s="2296" t="str">
        <x:v>Not extracted as an analytic exposure</x:v>
      </x:c>
      <x:c r="W31" s="2296" t="str">
        <x:v>Payer/coverage groups and change after dual enrollment</x:v>
      </x:c>
      <x:c r="X31" s="2296" t="str">
        <x:v>Coverage-associated contraceptive use is patient-access evidence, not a male–female matched effect.</x:v>
      </x:c>
    </x:row>
    <x:row r="32" ht="117" customHeight="1">
      <x:c r="A32" s="2302" t="str">
        <x:v>L-G10</x:v>
      </x:c>
      <x:c r="B32" s="2302" t="str">
        <x:v>Ellison J, et al. Contraceptive Use Among Traditional Medicare And Medicare Advantage Enrollees. Health Aff (Millwood). 2024;43(1):98-107.</x:v>
      </x:c>
      <x:c r="C32" s="2325" t="n">
        <x:v>2024</x:v>
      </x:c>
      <x:c r="D32" s="2302" t="str">
        <x:v>Comparative Medicare and Optum claims analysis</x:v>
      </x:c>
      <x:c r="E32" s="2302" t="str">
        <x:v>Reproductive-age Medicare enrollees</x:v>
      </x:c>
      <x:c r="F32" s="2302" t="str">
        <x:v>Traditional Medicare versus Medicare Advantage</x:v>
      </x:c>
      <x:c r="G32" s="2302" t="str">
        <x:v>2019; verified with authors' institutional summary</x:v>
      </x:c>
      <x:c r="H32" s="2302" t="str">
        <x:v>Use was higher in MA. Relative to traditional Medicare, long-acting method probability exceeded threefold and tubal sterilization tenfold; noncontraceptive indications were associated with greater use.</x:v>
      </x:c>
      <x:c r="I32" s="2302" t="str">
        <x:v>Claims/payer selection; methods and clinical indications differ; current policy cannot be inferred from historical utilization.</x:v>
      </x:c>
      <x:c r="J32" s="2302" t="str">
        <x:v>Separate Medicare benefit components and pregnancy prevention from medical treatment.</x:v>
      </x:c>
      <x:c r="K32" s="2302" t="str">
        <x:v>G08, G10, G13, G14</x:v>
      </x:c>
      <x:c r="L32" s="2302" t="str">
        <x:v>Abstract plus author-institution summary for period</x:v>
      </x:c>
      <x:c r="M32" s="2324" t="str"/>
      <x:c r="N32" s="2328" t="str">
        <x:v>https://pubmed.ncbi.nlm.nih.gov/38190592/</x:v>
      </x:c>
      <x:c r="O32" s="2302" t="str">
        <x:v>10.1377/hlthaff.2023.00286; PMID 38190592</x:v>
      </x:c>
      <x:c r="P32" s="2329" t="str">
        <x:v>Candidate: population verification pending</x:v>
      </x:c>
      <x:c r="Q32" s="2302" t="str">
        <x:v>Male/female or men/women reported. Cisgender identity and absence of transgender participants are not established by the current extraction.</x:v>
      </x:c>
      <x:c r="R32" s="2330" t="str"/>
      <x:c r="S32" s="2302" t="str">
        <x:v>Patient care / access</x:v>
      </x:c>
      <x:c r="T32" s="2302" t="str">
        <x:v>Reproductive-age beneficiaries in payer-linked claims</x:v>
      </x:c>
      <x:c r="U32" s="2302" t="str">
        <x:v>Contraceptive indication/population; no between-sex effect extracted</x:v>
      </x:c>
      <x:c r="V32" s="2302" t="str">
        <x:v>Not extracted as an analytic exposure</x:v>
      </x:c>
      <x:c r="W32" s="2302" t="str">
        <x:v>Traditional Medicare versus Medicare Advantage and clinical indications</x:v>
      </x:c>
      <x:c r="X32" s="2302" t="str">
        <x:v>Payer and method comparisons do not identify patient-sex or physician-gender effects; claims may miss unmet need.</x:v>
      </x:c>
    </x:row>
    <x:row r="33" ht="117" customHeight="1">
      <x:c r="A33" s="2296" t="str">
        <x:v>L-A01</x:v>
      </x:c>
      <x:c r="B33" s="2296" t="str">
        <x:v>Dean LT, et al. Drivers of cost differences between US breast cancer survivors with or without lymphedema. J Cancer Surviv. 2019;13(5):804-814.</x:v>
      </x:c>
      <x:c r="C33" s="2323" t="n">
        <x:v>2019</x:v>
      </x:c>
      <x:c r="D33" s="2296" t="str">
        <x:v>Mixed methods: monthly cost diaries and interviews</x:v>
      </x:c>
      <x:c r="E33" s="2296" t="str">
        <x:v>129 breast-cancer survivors; 40 interviewed</x:v>
      </x:c>
      <x:c r="F33" s="2296" t="str">
        <x:v>Mixed insurance; not Medicare-only</x:v>
      </x:c>
      <x:c r="G33" s="2296" t="str">
        <x:v>2015</x:v>
      </x:c>
      <x:c r="H33" s="2296" t="str">
        <x:v>Mean monthly direct costs were $355 with lymphedema versus $160 without. Higher costs extended beyond lymphedema treatment alone.</x:v>
      </x:c>
      <x:c r="I33" s="2296" t="str">
        <x:v>Self-reported costs; socioeconomic ability to pay; no matched male comparator; predates 2024 Medicare benefit.</x:v>
      </x:c>
      <x:c r="J33" s="2296" t="str">
        <x:v>Historical financial burden relevant to cancer survivorship; does not establish current noncoverage.</x:v>
      </x:c>
      <x:c r="K33" s="2296" t="str">
        <x:v>A01</x:v>
      </x:c>
      <x:c r="L33" s="2296" t="str">
        <x:v>Citation and abstract; full-text extraction not completed</x:v>
      </x:c>
      <x:c r="M33" s="2324" t="str"/>
      <x:c r="N33" s="2327" t="str">
        <x:v>https://pubmed.ncbi.nlm.nih.gov/31446591/</x:v>
      </x:c>
      <x:c r="O33" s="2296" t="str">
        <x:v>10.1007/s11764-019-00799-1; PMID 31446591</x:v>
      </x:c>
      <x:c r="P33" s="2329" t="str">
        <x:v>Candidate: population verification pending</x:v>
      </x:c>
      <x:c r="Q33" s="2296" t="str">
        <x:v>Male/female or men/women reported. Cisgender identity and absence of transgender participants are not established by the current extraction.</x:v>
      </x:c>
      <x:c r="R33" s="2330" t="str"/>
      <x:c r="S33" s="2296" t="str">
        <x:v>Patient care / access</x:v>
      </x:c>
      <x:c r="T33" s="2296" t="str">
        <x:v>Breast-cancer survivors reporting costs and interviews</x:v>
      </x:c>
      <x:c r="U33" s="2296" t="str">
        <x:v>Survivorship population; no matched male–female effect extracted</x:v>
      </x:c>
      <x:c r="V33" s="2296" t="str">
        <x:v>Not extracted as an analytic exposure</x:v>
      </x:c>
      <x:c r="W33" s="2296" t="str">
        <x:v>Survivors with versus without lymphedema</x:v>
      </x:c>
      <x:c r="X33" s="2296" t="str">
        <x:v>Sex/gender identity is not inferred from breast cancer; condition-related costs are not a direct sex-disparity estimate.</x:v>
      </x:c>
    </x:row>
    <x:row r="34" ht="117" customHeight="1">
      <x:c r="A34" s="2302" t="str">
        <x:v>L-A02</x:v>
      </x:c>
      <x:c r="B34" s="2302" t="str">
        <x:v>Lynn JV, et al. Cross-Sectional Analysis of Insurance Coverage for Lymphedema Treatments in the United States. JAMA Surg. 2023;158(9):920-926.</x:v>
      </x:c>
      <x:c r="C34" s="2325" t="n">
        <x:v>2023</x:v>
      </x:c>
      <x:c r="D34" s="2302" t="str">
        <x:v>Cross-sectional insurer policy review</x:v>
      </x:c>
      <x:c r="E34" s="2302" t="str">
        <x:v>67 insurers representing 88.7% of the US market</x:v>
      </x:c>
      <x:c r="F34" s="2302" t="str">
        <x:v>Major US insurers; not a Medicare-specific audit</x:v>
      </x:c>
      <x:c r="G34" s="2302" t="str">
        <x:v>March 2022</x:v>
      </x:c>
      <x:c r="H34" s="2302" t="str">
        <x:v>Coverage with authorization: nonprogrammable pumps 55/67 insurers, programmable pumps 53/67, debulking 13/67 and physiologic surgery 5/67.</x:v>
      </x:c>
      <x:c r="I34" s="2302" t="str">
        <x:v>Published policies, not actual claims; no sex-controlled comparison; predates the 2024 Medicare compression-item benefit.</x:v>
      </x:c>
      <x:c r="J34" s="2302" t="str">
        <x:v>Identifies broader lymphedema coverage variation; Medicare-specific findings require separate verification.</x:v>
      </x:c>
      <x:c r="K34" s="2302" t="str">
        <x:v>A01, A02</x:v>
      </x:c>
      <x:c r="L34" s="2302" t="str">
        <x:v>Citation and abstract; full-text extraction not completed</x:v>
      </x:c>
      <x:c r="M34" s="2324" t="str"/>
      <x:c r="N34" s="2328" t="str">
        <x:v>https://pubmed.ncbi.nlm.nih.gov/37285151/</x:v>
      </x:c>
      <x:c r="O34" s="2302" t="str">
        <x:v>10.1001/jamasurg.2023.2017; PMID 37285151</x:v>
      </x:c>
      <x:c r="P34" s="2329" t="str">
        <x:v>Policy/code-level component retained</x:v>
      </x:c>
      <x:c r="Q34" s="2302" t="str">
        <x:v>Code/insurer evidence does not establish patient gender identity. Assess any patient-level component separately.</x:v>
      </x:c>
      <x:c r="R34" s="2330" t="str"/>
      <x:c r="S34" s="2302" t="str">
        <x:v>Service / anatomy valuation or coverage</x:v>
      </x:c>
      <x:c r="T34" s="2302" t="str">
        <x:v>Insurers and their published coverage policies</x:v>
      </x:c>
      <x:c r="U34" s="2302" t="str">
        <x:v>Condition-specific benefit policies; no patient cohort</x:v>
      </x:c>
      <x:c r="V34" s="2302" t="str">
        <x:v>No physician-level comparison in the extracted policy analysis</x:v>
      </x:c>
      <x:c r="W34" s="2302" t="str">
        <x:v>Lymphedema treatment coverage across insurers and modalities</x:v>
      </x:c>
      <x:c r="X34" s="2302" t="str">
        <x:v>Published policy is distinct from patient claims, access and sex-specific effects; Medicare applicability needs separate verification.</x:v>
      </x:c>
    </x:row>
    <x:row r="35" ht="117" customHeight="1">
      <x:c r="A35" s="2296" t="str">
        <x:v>L-C01</x:v>
      </x:c>
      <x:c r="B35" s="2296" t="str">
        <x:v>Ahmad S, et al. Gender-Specific Trends in Ophthalmologist Medicare Collections. Am J Ophthalmol. 2020;214:32-39.</x:v>
      </x:c>
      <x:c r="C35" s="2323" t="n">
        <x:v>2020</x:v>
      </x:c>
      <x:c r="D35" s="2296" t="str">
        <x:v>Retrospective cohort; adjusted regressions</x:v>
      </x:c>
      <x:c r="E35" s="2296" t="str">
        <x:v>US ophthalmologists grouped by physician gender; sample size not verified</x:v>
      </x:c>
      <x:c r="F35" s="2296" t="str">
        <x:v>Medicare physician utilization and payment data</x:v>
      </x:c>
      <x:c r="G35" s="2296" t="str">
        <x:v>2012–2015</x:v>
      </x:c>
      <x:c r="H35" s="2296" t="str">
        <x:v>Women ophthalmologists collected 42% less after adjustment for age, geography and subspecialty. Women also saw fewer patients.</x:v>
      </x:c>
      <x:c r="I35" s="2296" t="str">
        <x:v>Collections are not salary. Observational findings do not establish unequal rates for identical services or patient-sex discrimination.</x:v>
      </x:c>
      <x:c r="J35" s="2296" t="str">
        <x:v>Context for clinician payment disparities; outside the primary patient-sex comparison.</x:v>
      </x:c>
      <x:c r="K35" s="2296" t="str"/>
      <x:c r="L35" s="2296" t="str">
        <x:v>Abstract verified; full text not reviewed</x:v>
      </x:c>
      <x:c r="M35" s="2324" t="str"/>
      <x:c r="N35" s="2327" t="str">
        <x:v>https://pubmed.ncbi.nlm.nih.gov/31926887/</x:v>
      </x:c>
      <x:c r="O35" s="2296" t="str">
        <x:v>10.1016/j.ajo.2019.12.024; PMID 31926887</x:v>
      </x:c>
      <x:c r="P35" s="2329" t="str">
        <x:v>Context only: clinician gender</x:v>
      </x:c>
      <x:c r="Q35" s="2296" t="str">
        <x:v>Physician gender comparison; cisgender identity not verified. No patient-sex analysis.</x:v>
      </x:c>
      <x:c r="R35" s="2330" t="str">
        <x:v>Not extracted: sample size, confidence interval and unadjusted totals.</x:v>
      </x:c>
      <x:c r="S35" s="2296" t="str">
        <x:v>Physician sex / gender</x:v>
      </x:c>
      <x:c r="T35" s="2296" t="str">
        <x:v>Ophthalmologists and their Medicare collections</x:v>
      </x:c>
      <x:c r="U35" s="2296" t="str">
        <x:v>No patient-sex disparity estimate extracted</x:v>
      </x:c>
      <x:c r="V35" s="2296" t="str">
        <x:v>Physician gender is the primary comparison; measurement details not fully extracted</x:v>
      </x:c>
      <x:c r="W35" s="2296" t="str">
        <x:v>Medicare collections by ophthalmologist gender</x:v>
      </x:c>
      <x:c r="X35" s="2296" t="str">
        <x:v>Collections are not salary or identical-service payment rates; patient-sex inequity cannot be inferred.</x:v>
      </x:c>
    </x:row>
    <x:row r="36" ht="117" customHeight="1">
      <x:c r="A36" s="2302" t="str">
        <x:v>L-C02</x:v>
      </x:c>
      <x:c r="B36" s="2302" t="str">
        <x:v>Raber I, et al. Gender Differences in Medicare Payments Among Cardiologists. JAMA Cardiol. 2021;6(12):1432-1439.</x:v>
      </x:c>
      <x:c r="C36" s="2325" t="n">
        <x:v>2021</x:v>
      </x:c>
      <x:c r="D36" s="2302" t="str">
        <x:v>Cross-sectional; adjusted regressions</x:v>
      </x:c>
      <x:c r="E36" s="2302" t="str">
        <x:v>20,273 US cardiologists; physician-level analysis</x:v>
      </x:c>
      <x:c r="F36" s="2302" t="str">
        <x:v>Medicare fee-for-service</x:v>
      </x:c>
      <x:c r="G36" s="2302" t="str">
        <x:v>2016</x:v>
      </x:c>
      <x:c r="H36" s="2302" t="str">
        <x:v>Median annual payments (men/women): inpatient $62,897/$45,288; outpatient $91,053/$51,975. Reported adjusted log coefficient for women: −0.06 (95% CI −0.11 to −0.02). No per-charge difference for the three most common billing codes in each setting.</x:v>
      </x:c>
      <x:c r="I36" s="2302" t="str">
        <x:v>Work hours, encounter time and nonclinical duties unavailable; residual confounding. Payments are not salary. Findings do not compare patient sexes.</x:v>
      </x:c>
      <x:c r="J36" s="2302" t="str">
        <x:v>Clinician-payment context; outside primary patient-sex synthesis.</x:v>
      </x:c>
      <x:c r="K36" s="2302" t="str"/>
      <x:c r="L36" s="2302" t="str">
        <x:v>Targeted main-text review via indexed PMC; supplement not reviewed</x:v>
      </x:c>
      <x:c r="M36" s="2324" t="str"/>
      <x:c r="N36" s="2328" t="str">
        <x:v>https://pmc.ncbi.nlm.nih.gov/articles/PMC8427494/</x:v>
      </x:c>
      <x:c r="O36" s="2302" t="str">
        <x:v>10.1001/jamacardio.2021.3385; PMID 34495296</x:v>
      </x:c>
      <x:c r="P36" s="2329" t="str">
        <x:v>Context only: clinician gender</x:v>
      </x:c>
      <x:c r="Q36" s="2302" t="str">
        <x:v>Self-reported physician gender linked to NPI; cisgender identity not established.</x:v>
      </x:c>
      <x:c r="R36" s="2330" t="str">
        <x:v>Adjusted for billing volume/diversity, case mix, experience and subspecialty. Formal risk-of-bias assessment pending.</x:v>
      </x:c>
      <x:c r="S36" s="2302" t="str">
        <x:v>Physician sex / gender</x:v>
      </x:c>
      <x:c r="T36" s="2302" t="str">
        <x:v>Cardiologists and provider billing/payment measures</x:v>
      </x:c>
      <x:c r="U36" s="2302" t="str">
        <x:v>Patient case mix enters adjustment; no patient-sex disparity estimate extracted</x:v>
      </x:c>
      <x:c r="V36" s="2302" t="str">
        <x:v>Physician gender is the primary comparison; self-reported gender linked to NPI</x:v>
      </x:c>
      <x:c r="W36" s="2302" t="str">
        <x:v>Annual Medicare payments and common-code payments by cardiologist gender</x:v>
      </x:c>
      <x:c r="X36" s="2302" t="str">
        <x:v>Provider payments are not salary; adjusted annual differences do not establish unequal rates for identical services.</x:v>
      </x:c>
    </x:row>
    <x:row r="37" ht="117" customHeight="1">
      <x:c r="A37" s="2296" t="str">
        <x:v>L-C03</x:v>
      </x:c>
      <x:c r="B37" s="2296" t="str">
        <x:v>Munir MM, et al. Gender-Based Variations in Medicare Reimbursements Among Different Surgical Subspecialties. JAMA Surg. 2024;159(9):1060-1070.</x:v>
      </x:c>
      <x:c r="C37" s="2323" t="n">
        <x:v>2024</x:v>
      </x:c>
      <x:c r="D37" s="2296" t="str">
        <x:v>Cross-sectional; surgeon-level regression and CPT-matched payment analysis</x:v>
      </x:c>
      <x:c r="E37" s="2296" t="str">
        <x:v>20,549 general surgeons, 1,065 surgical oncologists and 1,601 colorectal surgeons; physician-level comparison</x:v>
      </x:c>
      <x:c r="F37" s="2296" t="str">
        <x:v>Medicare fee-for-service</x:v>
      </x:c>
      <x:c r="G37" s="2296" t="str">
        <x:v>2021; monetary values in 2021 US dollars</x:v>
      </x:c>
      <x:c r="H37" s="2296" t="str">
        <x:v>Adjusted annual payments were lower for women surgeons: general −$14,963.46 (95% CI −18,822.27 to −11,104.64); oncology −$8,354.69 (−15,018.12 to −1,691.25); colorectal −$4,346.73 (−7,660.15 to −1,033.32). CPT-matched mean differences were −$3.87, −$18.02 and −$0.44, respectively (no CIs/P values shown). Unadjusted colorectal payment/service was similar: $167.33 vs $169.20, P=.52.</x:v>
      </x:c>
      <x:c r="I37" s="2296" t="str">
        <x:v>Payments are not salary. Modifiers/add-on codes and complete billing circumstances were unavailable; matching CPT does not establish identical services. Observational results do not establish causal discrimination or patient-sex coverage differences.</x:v>
      </x:c>
      <x:c r="J37" s="2296" t="str">
        <x:v>Physician-gender payment evidence; separate from the primary patient-sex disparity synthesis.</x:v>
      </x:c>
      <x:c r="K37" s="2296" t="str"/>
      <x:c r="L37" s="2296" t="str">
        <x:v>Targeted main-text and tables review; supplement not independently reviewed</x:v>
      </x:c>
      <x:c r="M37" s="2324" t="str"/>
      <x:c r="N37" s="2327" t="str">
        <x:v>https://jamanetwork.com/journals/jamasurgery/fullarticle/2821588</x:v>
      </x:c>
      <x:c r="O37" s="2296" t="str">
        <x:v>10.1001/jamasurg.2024.2298; PMID 39046733</x:v>
      </x:c>
      <x:c r="P37" s="2329" t="str">
        <x:v>Context only: clinician gender</x:v>
      </x:c>
      <x:c r="Q37" s="2296" t="str">
        <x:v>Self-reported Rendering Provider Gender (female/male) from CMS; cisgender identity not verified. Patient gender describes case mix, not an extracted patient-sex disparity.</x:v>
      </x:c>
      <x:c r="R37" s="2330" t="str">
        <x:v>Annual and per-service outcomes are distinct. Retain the null colorectal per-service finding. Matched-code differences lack displayed uncertainty estimates. Formal risk-of-bias assessment pending.</x:v>
      </x:c>
      <x:c r="S37" s="2296" t="str">
        <x:v>Physician sex / gender</x:v>
      </x:c>
      <x:c r="T37" s="2296" t="str">
        <x:v>Surgeons and provider-service payment/utilization measures</x:v>
      </x:c>
      <x:c r="U37" s="2296" t="str">
        <x:v>Patient sex is descriptive case mix; no patient-sex disparity estimate extracted</x:v>
      </x:c>
      <x:c r="V37" s="2296" t="str">
        <x:v>Physician gender is the primary analytic exposure</x:v>
      </x:c>
      <x:c r="W37" s="2296" t="str">
        <x:v>Surgeon gender and provider-service payment/utilization comparisons</x:v>
      </x:c>
      <x:c r="X37" s="2296" t="str">
        <x:v>Physician-gender findings do not establish patient-sex reimbursement effects; distinguish provider totals, service rates and salary.</x:v>
      </x:c>
    </x:row>
    <x:row r="38" ht="117" customHeight="1">
      <x:c r="A38" s="2302" t="str">
        <x:v>L-H01</x:v>
      </x:c>
      <x:c r="B38" s="2302" t="str">
        <x:v>Gornick M, et al. Factors affecting differences in Medicare reimbursements for physicians' services. Health Care Financ Rev. 1980;1(4):15-37.</x:v>
      </x:c>
      <x:c r="C38" s="2325" t="n">
        <x:v>1980</x:v>
      </x:c>
      <x:c r="D38" s="2302" t="str">
        <x:v>Descriptive administrative-data analysis</x:v>
      </x:c>
      <x:c r="E38" s="2302" t="str">
        <x:v>US Part B enrollees aged 65+; 1% analytic sample</x:v>
      </x:c>
      <x:c r="F38" s="2302" t="str">
        <x:v>Medicare Part B</x:v>
      </x:c>
      <x:c r="G38" s="2302" t="str">
        <x:v>1975 (main analysis)</x:v>
      </x:c>
      <x:c r="H38" s="2302" t="str">
        <x:v>Women/men, 1975 nominal dollars: mean reimbursement per enrollee $125/$140; deductible exceeded 51%/47%; mean allowed charge per service $14.60/$16.46. Inpatient surgery allowed charges reversed: $277.06/$267.94 (Tables 1, 3, 5).</x:v>
      </x:c>
      <x:c r="I38" s="2302" t="str">
        <x:v>No diagnoses or specific procedure codes; incomplete below-deductible utilization. Service mix may explain differences. Historical customary/prevailing/reasonable-charge system; no causal or current-coverage inference.</x:v>
      </x:c>
      <x:c r="J38" s="2302" t="str">
        <x:v>Historical patient-sex evidence on benefit distribution and cost sharing.</x:v>
      </x:c>
      <x:c r="K38" s="2302" t="str"/>
      <x:c r="L38" s="2302" t="str">
        <x:v>Targeted full-text extraction; CMS PDF checked against indexed PMC</x:v>
      </x:c>
      <x:c r="M38" s="2324" t="str"/>
      <x:c r="N38" s="2328" t="str">
        <x:v>https://pmc.ncbi.nlm.nih.gov/articles/PMC4191131/</x:v>
      </x:c>
      <x:c r="O38" s="2302" t="str">
        <x:v>PMID 10309221; PMC4191131</x:v>
      </x:c>
      <x:c r="P38" s="2329" t="str">
        <x:v>Historical patient evidence: eligibility pending</x:v>
      </x:c>
      <x:c r="Q38" s="2302" t="str">
        <x:v>Enrollment-file sex; gender identity not reported.</x:v>
      </x:c>
      <x:c r="R38" s="2330" t="str">
        <x:v>Population eligibility and risk-of-bias assessment pending; retain in historical synthesis separately from current policy.</x:v>
      </x:c>
      <x:c r="S38" s="2302" t="str">
        <x:v>Patient care / access</x:v>
      </x:c>
      <x:c r="T38" s="2302" t="str">
        <x:v>Part B enrollees, reported utilization and reimbursements</x:v>
      </x:c>
      <x:c r="U38" s="2302" t="str">
        <x:v>Enrollment-file sex is a direct male–female comparison; identity not reported</x:v>
      </x:c>
      <x:c r="V38" s="2302" t="str">
        <x:v>Not extracted as an analytic exposure</x:v>
      </x:c>
      <x:c r="W38" s="2302" t="str">
        <x:v>Beneficiary reimbursement, charges and deductible experience by patient sex</x:v>
      </x:c>
      <x:c r="X38" s="2302" t="str">
        <x:v>Payments for physician services are grouped by patient sex here; historical service mix prevents a causal or current-policy inference.</x:v>
      </x:c>
    </x:row>
    <x:row r="39" ht="117" customHeight="1">
      <x:c r="A39" s="2296" t="str">
        <x:v>L-B01</x:v>
      </x:c>
      <x:c r="B39" s="2296" t="str">
        <x:v>Mauvais-Jarvis F, et al. Sex and gender: modifiers of health, disease, and medicine. Lancet. 2020;396(10250):565-582.</x:v>
      </x:c>
      <x:c r="C39" s="2323" t="n">
        <x:v>2020</x:v>
      </x:c>
      <x:c r="D39" s="2296" t="str">
        <x:v>Narrative clinical review</x:v>
      </x:c>
      <x:c r="E39" s="2296" t="str">
        <x:v>Clinical and preclinical literature; no Medicare cohort</x:v>
      </x:c>
      <x:c r="F39" s="2296" t="str">
        <x:v>Not payer-specific</x:v>
      </x:c>
      <x:c r="G39" s="2296" t="str">
        <x:v>Search: Jan 2000–Jun 2020; earlier seminal work also cited</x:v>
      </x:c>
      <x:c r="H39" s="2296" t="str">
        <x:v>Synthesizes sex-related biology and gender-related social influences on disease, diagnosis and treatment. Provides a framework for evaluating clinical needs across disease domains.</x:v>
      </x:c>
      <x:c r="I39" s="2296" t="str">
        <x:v>Selective narrative review; no original Medicare coverage, reimbursement or patient-cost analysis. Underlying studies require separate eligibility and quality assessment.</x:v>
      </x:c>
      <x:c r="J39" s="2296" t="str">
        <x:v>Foundational clinical background for the national question and white paper; source for citation following.</x:v>
      </x:c>
      <x:c r="K39" s="2296" t="str"/>
      <x:c r="L39" s="2296" t="str">
        <x:v>Targeted main-text review; citation and linked correction verified</x:v>
      </x:c>
      <x:c r="M39" s="2324" t="str"/>
      <x:c r="N39" s="2327" t="str">
        <x:v>https://pmc.ncbi.nlm.nih.gov/articles/PMC7440877/</x:v>
      </x:c>
      <x:c r="O39" s="2296" t="str">
        <x:v>10.1016/s0140-6736(20)31561-0; PMID 32828189</x:v>
      </x:c>
      <x:c r="P39" s="2329" t="str">
        <x:v>Background: sex/gender medicine review</x:v>
      </x:c>
      <x:c r="Q39" s="2296" t="str">
        <x:v>Discusses sex and gender; no defined patient cohort. Not classified as cisgender-only.</x:v>
      </x:c>
      <x:c r="R39" s="2330" t="str">
        <x:v>Linked correction L-B01-E1, PMID 32891210 (Figure 4 label). Retain background separately from direct reimbursement evidence.</x:v>
      </x:c>
      <x:c r="S39" s="2296" t="str">
        <x:v>General patient sex / gender background</x:v>
      </x:c>
      <x:c r="T39" s="2296" t="str">
        <x:v>Clinical and preclinical literature in a narrative review</x:v>
      </x:c>
      <x:c r="U39" s="2296" t="str">
        <x:v>Sex-related biology and gender-related social influences are general clinical topics</x:v>
      </x:c>
      <x:c r="V39" s="2296" t="str">
        <x:v>No original physician-gender estimate extracted</x:v>
      </x:c>
      <x:c r="W39" s="2296" t="str">
        <x:v>General frameworks across diseases and treatments</x:v>
      </x:c>
      <x:c r="X39" s="2296" t="str">
        <x:v>Background synthesis supplies rationale; underlying studies require independent screening and cannot be treated as Medicare evidence.</x:v>
      </x:c>
    </x:row>
    <x:row r="40" ht="117" customHeight="1">
      <x:c r="A40" s="2302" t="str">
        <x:v>L-B02</x:v>
      </x:c>
      <x:c r="B40" s="2302" t="str">
        <x:v>Chang WH. Understanding the COVID-19 pandemic from a gender perspective. Taiwan J Obstet Gynecol. 2020;59(6):801-807.</x:v>
      </x:c>
      <x:c r="C40" s="2325" t="n">
        <x:v>2020</x:v>
      </x:c>
      <x:c r="D40" s="2302" t="str">
        <x:v>Narrative review</x:v>
      </x:c>
      <x:c r="E40" s="2302" t="str">
        <x:v>International literature on women and men; no defined Medicare cohort</x:v>
      </x:c>
      <x:c r="F40" s="2302" t="str">
        <x:v>Not payer-specific</x:v>
      </x:c>
      <x:c r="G40" s="2302" t="str">
        <x:v>Early-pandemic literature, 2020; no formal search window reported</x:v>
      </x:c>
      <x:c r="H40" s="2302" t="str">
        <x:v>Discusses gendered caregiving, employment, occupational exposure and health-seeking behavior alongside early sex differences in COVID-19 outcomes.</x:v>
      </x:c>
      <x:c r="I40" s="2302" t="str">
        <x:v>Author acknowledges limited source-credibility assessment, including non-peer-reviewed websites. Mixes early studies, preprints and media; clinical claims require independent verification. No Medicare reimbursement analysis.</x:v>
      </x:c>
      <x:c r="J40" s="2302" t="str">
        <x:v>Background on social and economic pathways potentially affecting access; generates hypotheses for the national review.</x:v>
      </x:c>
      <x:c r="K40" s="2302" t="str"/>
      <x:c r="L40" s="2302" t="str">
        <x:v>Targeted main-text review via indexed PMC; citation verified</x:v>
      </x:c>
      <x:c r="M40" s="2324" t="str"/>
      <x:c r="N40" s="2328" t="str">
        <x:v>https://pmc.ncbi.nlm.nih.gov/articles/PMC7486042/</x:v>
      </x:c>
      <x:c r="O40" s="2302" t="str">
        <x:v>10.1016/j.tjog.2020.09.004; PMID 33218392</x:v>
      </x:c>
      <x:c r="P40" s="2329" t="str">
        <x:v>Background: pandemic gender inequities</x:v>
      </x:c>
      <x:c r="Q40" s="2302" t="str">
        <x:v>Discusses men and women; no defined cohort or verified cisgender-only population.</x:v>
      </x:c>
      <x:c r="R40" s="2330" t="str">
        <x:v>Underlying references require independent screening. No pooled estimate extracted; formal quality assessment pending.</x:v>
      </x:c>
      <x:c r="S40" s="2302" t="str">
        <x:v>General patient sex / gender background</x:v>
      </x:c>
      <x:c r="T40" s="2302" t="str">
        <x:v>Early-pandemic literature in a narrative review</x:v>
      </x:c>
      <x:c r="U40" s="2302" t="str">
        <x:v>Sex/gender-related outcomes and social pathways are general topics</x:v>
      </x:c>
      <x:c r="V40" s="2302" t="str">
        <x:v>No original physician-gender estimate extracted</x:v>
      </x:c>
      <x:c r="W40" s="2302" t="str">
        <x:v>Gendered social conditions and early COVID-19 findings</x:v>
      </x:c>
      <x:c r="X40" s="2302" t="str">
        <x:v>Narrative background is not an original patient cohort or Medicare reimbursement analysis.</x:v>
      </x:c>
    </x:row>
    <x:row r="41" ht="117" customHeight="1">
      <x:c r="A41" s="2296" t="str">
        <x:v>L-B03</x:v>
      </x:c>
      <x:c r="B41" s="2296" t="str">
        <x:v>Betron M, et al. Men and COVID-19: Adding a gender lens. Glob Public Health. 2020;15(7):1090-1092.</x:v>
      </x:c>
      <x:c r="C41" s="2323" t="n">
        <x:v>2020</x:v>
      </x:c>
      <x:c r="D41" s="2296" t="str">
        <x:v>Public-health commentary</x:v>
      </x:c>
      <x:c r="E41" s="2296" t="str">
        <x:v>Global public-health context; no original patient cohort</x:v>
      </x:c>
      <x:c r="F41" s="2296" t="str">
        <x:v>Not payer-specific</x:v>
      </x:c>
      <x:c r="G41" s="2296" t="str">
        <x:v>Early-pandemic commentary; online May 2020</x:v>
      </x:c>
      <x:c r="H41" s="2296" t="str">
        <x:v>Highlights men's care-seeking barriers and gender norms. Proposes tailored outreach, shared caregiving and violence prevention, while acknowledging uncertainty about biological versus social drivers of COVID-19 risk.</x:v>
      </x:c>
      <x:c r="I41" s="2296" t="str">
        <x:v>Commentary using prior research, programmes and media; no original cohort, systematic search or pooled effect estimate. No Medicare coverage or payment comparison.</x:v>
      </x:c>
      <x:c r="J41" s="2296" t="str">
        <x:v>Framework for examining access barriers affecting either sex; Medicare applicability requires primary evidence.</x:v>
      </x:c>
      <x:c r="K41" s="2296" t="str"/>
      <x:c r="L41" s="2296" t="str">
        <x:v>Publisher main text reviewed via indexed page; citation verified</x:v>
      </x:c>
      <x:c r="M41" s="2324" t="str"/>
      <x:c r="N41" s="2327" t="str">
        <x:v>https://www.tandfonline.com/doi/full/10.1080/17441692.2020.1769702</x:v>
      </x:c>
      <x:c r="O41" s="2296" t="str">
        <x:v>10.1080/17441692.2020.1769702; PMID 32436422</x:v>
      </x:c>
      <x:c r="P41" s="2329" t="str">
        <x:v>Background: gender and access commentary</x:v>
      </x:c>
      <x:c r="Q41" s="2296" t="str">
        <x:v>Discusses men and women; no defined cohort or verified cisgender-only population.</x:v>
      </x:c>
      <x:c r="R41" s="2330" t="str">
        <x:v>Publisher notes republication with minor changes that do not affect academic content. Cited interventions need independent retrieval and appraisal.</x:v>
      </x:c>
      <x:c r="S41" s="2296" t="str">
        <x:v>General patient sex / gender background</x:v>
      </x:c>
      <x:c r="T41" s="2296" t="str">
        <x:v>Public-health commentary drawing on earlier research and programs</x:v>
      </x:c>
      <x:c r="U41" s="2296" t="str">
        <x:v>Men's care-seeking and gender norms are general access topics</x:v>
      </x:c>
      <x:c r="V41" s="2296" t="str">
        <x:v>No original physician-gender estimate extracted</x:v>
      </x:c>
      <x:c r="W41" s="2296" t="str">
        <x:v>Proposed gender-responsive public-health approaches</x:v>
      </x:c>
      <x:c r="X41" s="2296" t="str">
        <x:v>Commentary generates access hypotheses; it does not establish Medicare effects or intervention effectiveness.</x:v>
      </x:c>
    </x:row>
    <x:row r="42" ht="117" customHeight="1">
      <x:c r="A42" s="2302" t="str">
        <x:v>L-Q01</x:v>
      </x:c>
      <x:c r="B42" s="2302" t="str">
        <x:v>Tong A, et al. Nephrologists' Perspectives on Gender Disparities in CKD and Dialysis. Kidney Int Rep. 2022;7(3):424-435.</x:v>
      </x:c>
      <x:c r="C42" s="2325" t="n">
        <x:v>2022</x:v>
      </x:c>
      <x:c r="D42" s="2302" t="str">
        <x:v>Qualitative interviews; thematic analysis</x:v>
      </x:c>
      <x:c r="E42" s="2302" t="str">
        <x:v>51 nephrologists, 22 countries (7 US); no patient cohort</x:v>
      </x:c>
      <x:c r="F42" s="2302" t="str">
        <x:v>Multiple health systems; no Medicare-specific analysis</x:v>
      </x:c>
      <x:c r="G42" s="2302" t="str">
        <x:v>Oct 2019–Apr 2020</x:v>
      </x:c>
      <x:c r="H42" s="2302" t="str">
        <x:v>Clinicians described caregiving, financial and transport barriers, limited support and stereotyping affecting women's kidney care. Men's provider roles and reluctance to relinquish control could also delay care. These are perceptions, not measured disparity rates.</x:v>
      </x:c>
      <x:c r="I42" s="2302" t="str">
        <x:v>Purposive professional-network sample; English/German interviews. Responses reporting no perceived differences were not detailed. No patient interviews or Medicare payment, denial or cost estimates; national generalizability is limited.</x:v>
      </x:c>
      <x:c r="J42" s="2302" t="str">
        <x:v>Original qualitative evidence for access mechanisms to investigate in CKD and dialysis; requires Medicare-specific follow-up.</x:v>
      </x:c>
      <x:c r="K42" s="2302" t="str"/>
      <x:c r="L42" s="2302" t="str">
        <x:v>Targeted full-text review: methods, results, tables and limitations</x:v>
      </x:c>
      <x:c r="M42" s="2324" t="str"/>
      <x:c r="N42" s="2328" t="str">
        <x:v>https://pmc.ncbi.nlm.nih.gov/articles/PMC8897691/</x:v>
      </x:c>
      <x:c r="O42" s="2302" t="str">
        <x:v>10.1016/j.ekir.2021.10.022; PMID 35257055</x:v>
      </x:c>
      <x:c r="P42" s="2329" t="str">
        <x:v>Context: qualitative patient-access evidence</x:v>
      </x:c>
      <x:c r="Q42" s="2302" t="str">
        <x:v>Authors excluded transgender-patient disparity data. No patient cohort; clinician gender identity not established.</x:v>
      </x:c>
      <x:c r="R42" s="2330" t="str">
        <x:v>Original research, not commentary. Retain as qualitative access context; formal appraisal pending. Linked editorial is a citation lead, not a correction.</x:v>
      </x:c>
      <x:c r="S42" s="2302" t="str">
        <x:v>Patient care / access</x:v>
      </x:c>
      <x:c r="T42" s="2302" t="str">
        <x:v>Nephrologist interviews and qualitative themes</x:v>
      </x:c>
      <x:c r="U42" s="2302" t="str">
        <x:v>Patient-sex/gender access barriers are the interview topic; no measured patient cohort</x:v>
      </x:c>
      <x:c r="V42" s="2302" t="str">
        <x:v>Clinicians are respondents; no physician-gender disparity estimate extracted</x:v>
      </x:c>
      <x:c r="W42" s="2302" t="str">
        <x:v>Clinician perceptions of barriers affecting women's and men's kidney care</x:v>
      </x:c>
      <x:c r="X42" s="2302" t="str">
        <x:v>The respondents' profession does not change the patient-access question; perceptions are not measured patient outcomes or Medicare effects.</x:v>
      </x:c>
    </x:row>
    <x:row r="43" ht="117" customHeight="1">
      <x:c r="A43" s="2296" t="str">
        <x:v>L-R01</x:v>
      </x:c>
      <x:c r="B43" s="2296" t="str">
        <x:v>Nekui F, et al. Cost-related Medication Nonadherence and Its Risk Factors Among Medicare Beneficiaries. Med Care. 2021;59(1):13-21.</x:v>
      </x:c>
      <x:c r="C43" s="2323" t="n">
        <x:v>2021</x:v>
      </x:c>
      <x:c r="D43" s="2296" t="str">
        <x:v>Survey-weighted cross-sectional MCBS analysis with descriptive historical trends</x:v>
      </x:c>
      <x:c r="E43" s="2296" t="str">
        <x:v>12,625 community-dwelling beneficiaries: 2,155 under 65 and 10,470 aged 65+; recorded sex, identity unresolved</x:v>
      </x:c>
      <x:c r="F43" s="2296" t="str">
        <x:v>Traditional Medicare and Medicare Advantage; Part D/LIS, other drug coverage and no-drug-coverage strata</x:v>
      </x:c>
      <x:c r="G43" s="2296" t="str">
        <x:v>2016 main analysis; 2006–2016 descriptive trends exclude 2014</x:v>
      </x:c>
      <x:c r="H43" s="2296" t="str">
        <x:v>Female versus male adjusted odds of any cost-related nonadherence: 1.66 (95% CI 1.31–2.10) under 65 and 1.21 (1.04–1.41) aged 65+. Weighted prevalence: 40.5% versus 28.5% and 15.7% versus 12.8%, respectively. For ages 65+, cost-reduction-strategy OR 1.04 (0.94–1.14) includes the null.</x:v>
      </x:c>
      <x:c r="I43" s="2296" t="str">
        <x:v>Self-report, residual confounding and continuous-enrollment/community selection; no current policy effect. Gender identity unresolved. Outcome-response Ns 2,150/10,457 differ from cohort Ns; model N and sex-specific event counts not established. Supplements not extracted.</x:v>
      </x:c>
      <x:c r="J43" s="2296" t="str">
        <x:v>Direct historical patient-sex affordability candidate in shared systems/functions; retain outside confirmed-cisgender primary synthesis pending eligibility.</x:v>
      </x:c>
      <x:c r="K43" s="2296" t="str"/>
      <x:c r="L43" s="2296" t="str">
        <x:v>Main full-text methods/results/limitations and Tables 1–3; AI preliminary; supplements not reviewed</x:v>
      </x:c>
      <x:c r="M43" s="2324" t="str"/>
      <x:c r="N43" s="2327" t="str">
        <x:v>https://pmc.ncbi.nlm.nih.gov/articles/PMC7735208/</x:v>
      </x:c>
      <x:c r="O43" s="2296" t="str">
        <x:v>10.1097/mlr.0000000000001458; PMID 33298705</x:v>
      </x:c>
      <x:c r="P43" s="2329" t="str">
        <x:v>Candidate: identity eligibility unresolved; human screening pending</x:v>
      </x:c>
      <x:c r="Q43" s="2296" t="str">
        <x:v>Enrollment-record sex, female versus male; gender identity not reported and cisgender eligibility unresolved</x:v>
      </x:c>
      <x:c r="R43" s="2330" t="str">
        <x:v>Provisional AI extraction on 2026-09-21. Not included in a confirmed-cisgender primary synthesis; no formal risk-of-bias or certainty assessment.</x:v>
      </x:c>
      <x:c r="S43" s="2296" t="str">
        <x:v>Patient care / access</x:v>
      </x:c>
      <x:c r="T43" s="2296" t="str">
        <x:v>Community-dwelling Medicare beneficiaries in survey-weighted 2016 MCBS analyses</x:v>
      </x:c>
      <x:c r="U43" s="2296" t="str">
        <x:v>Enrollment-record sex, female versus male; gender identity not reported and cisgender eligibility unresolved</x:v>
      </x:c>
      <x:c r="V43" s="2296" t="str">
        <x:v>Not measured as an analytic exposure</x:v>
      </x:c>
      <x:c r="W43" s="2296" t="str">
        <x:v>Patient sex differences in cost-related medication nonadherence and companion financial-burden measures, separately for &lt;65 and &gt;=65</x:v>
      </x:c>
      <x:c r="X43" s="2296" t="str">
        <x:v>Adjusted associations are not causal reimbursement effects; historical enrollment sex does not establish cisgender identity. Weighted prevalence does not supply unweighted event counts.</x:v>
      </x:c>
    </x:row>
    <x:row r="44" ht="117" customHeight="1">
      <x:c r="A44" s="2302" t="str">
        <x:v>L-R02</x:v>
      </x:c>
      <x:c r="B44" s="2302" t="str">
        <x:v>De Avila JL, et al. Prevalence and Persistence of Cost-Related Medication Nonadherence Among Medicare Beneficiaries at High Risk of Hospitalization. JAMA Netw Open. 2021;4(3):e210498.</x:v>
      </x:c>
      <x:c r="C44" s="2325" t="n">
        <x:v>2021</x:v>
      </x:c>
      <x:c r="D44" s="2302" t="str">
        <x:v>Observational secondary longitudinal cohort pooling care-model trial arms</x:v>
      </x:c>
      <x:c r="E44" s="2302" t="str">
        <x:v>1,655 high-risk Chicago Medicare beneficiaries: 1,036 women and 619 men; 769 under 65 and 886 aged 65+; identity unresolved</x:v>
      </x:c>
      <x:c r="F44" s="2302" t="str">
        <x:v>Medicare-only and dual Medicare/Medicaid; specific Part D and Original Medicare/MA status not established</x:v>
      </x:c>
      <x:c r="G44" s="2302" t="str">
        <x:v>2012–2018 enrollment/study period; 3-month baseline recall plus 12-month follow-up, 5 surveys</x:v>
      </x:c>
      <x:c r="H44" s="2302" t="str">
        <x:v>Persistent CRN: 162/1,036 women (15.6%) versus 68/619 men (11.0%), unadjusted P=.008; adjusted woman:man OR 1.36 (95% CI 0.95–1.95), P=.10. Transient CRN adjusted OR 0.81 (0.62–1.07), P=.15. Preserve both adjusted intervals including the null.</x:v>
      </x:c>
      <x:c r="I44" s="2302" t="str">
        <x:v>Selected single-center cohort, 87.7% Black; deaths/incomplete follow-up excluded; some missing CRN treated as not reported. Gender identity unresolved; adjusted associations do not identify causal bias. Exact model N/reference-outcome coding require verification before pooling.</x:v>
      </x:c>
      <x:c r="J44" s="2302" t="str">
        <x:v>Direct patient-sex longitudinal affordability candidate; distinguishes persistence from annual any-CRN. Not national prevalence or confirmed-cisgender primary evidence.</x:v>
      </x:c>
      <x:c r="K44" s="2302" t="str"/>
      <x:c r="L44" s="2302" t="str">
        <x:v>Full-text methods/results/limitations, Figure 2 and Tables 1–2 via PMC XML; AI preliminary</x:v>
      </x:c>
      <x:c r="M44" s="2324" t="str"/>
      <x:c r="N44" s="2328" t="str">
        <x:v>https://pmc.ncbi.nlm.nih.gov/articles/PMC7930921/</x:v>
      </x:c>
      <x:c r="O44" s="2302" t="str">
        <x:v>10.1001/jamanetworkopen.2021.0498; PMID 33656528</x:v>
      </x:c>
      <x:c r="P44" s="2329" t="str">
        <x:v>Candidate: identity eligibility unresolved; human screening pending</x:v>
      </x:c>
      <x:c r="Q44" s="2302" t="str">
        <x:v>Survey asked sex; authors report woman/man as gender. Gender identity and cisgender eligibility unresolved</x:v>
      </x:c>
      <x:c r="R44" s="2330" t="str">
        <x:v>Provisional AI extraction on 2026-09-21. Not included in a confirmed-cisgender primary synthesis; no formal risk-of-bias or certainty assessment.</x:v>
      </x:c>
      <x:c r="S44" s="2302" t="str">
        <x:v>Patient care / access</x:v>
      </x:c>
      <x:c r="T44" s="2302" t="str">
        <x:v>High-hospitalization-risk Medicare beneficiaries with five repeated CRN surveys</x:v>
      </x:c>
      <x:c r="U44" s="2302" t="str">
        <x:v>Survey asked sex; authors report woman/man as gender. Gender identity and cisgender eligibility unresolved</x:v>
      </x:c>
      <x:c r="V44" s="2302" t="str">
        <x:v>Not measured as an analytic exposure</x:v>
      </x:c>
      <x:c r="W44" s="2302" t="str">
        <x:v>Patient sex differences in transient, intermittent and persistent cost-related medication nonadherence</x:v>
      </x:c>
      <x:c r="X44" s="2302" t="str">
        <x:v>Selected observational cohort, not national prevalence or a randomized sex comparison. Adjusted persistent estimate includes null; this does not establish equivalence.</x:v>
      </x:c>
    </x:row>
    <x:row r="45" ht="117" customHeight="1">
      <x:c r="A45" s="2296" t="str">
        <x:v>L-R03</x:v>
      </x:c>
      <x:c r="B45" s="2296" t="str">
        <x:v>Gyftopoulos S, et al. Bone Density Screening Rates Among Medicare Beneficiaries: An Analysis with a focus on Asian Americans. Skeletal Radiol. 2024;53(11):2347-2355.</x:v>
      </x:c>
      <x:c r="C45" s="2323" t="n">
        <x:v>2024</x:v>
      </x:c>
      <x:c r="D45" s="2296" t="str">
        <x:v>Retrospective administrative claims analysis</x:v>
      </x:c>
      <x:c r="E45" s="2296" t="str">
        <x:v>80,439 eligible Asian American beneficiaries; women &gt;=65, men &gt;=70</x:v>
      </x:c>
      <x:c r="F45" s="2296" t="str">
        <x:v>Medicare; FFS/MA enrollment restrictions not specified in accessible abstract</x:v>
      </x:c>
      <x:c r="G45" s="2296" t="str">
        <x:v>Not established from abstract</x:v>
      </x:c>
      <x:c r="H45" s="2296" t="str">
        <x:v>Asian American subgroup DXA receipt: women 19.8% versus men 5.0% (P&lt;.001). Overall 12,102/80,439 (15.1%). Sex-specific denominators and adjusted sex effects unavailable.</x:v>
      </x:c>
      <x:c r="I45" s="2296" t="str">
        <x:v>Abstract-only; differing age thresholds; unknown observation years and clinical-need adjustment. The adjusted reported contrast concerns race, not sex. Identity unresolved.</x:v>
      </x:c>
      <x:c r="J45" s="2296" t="str">
        <x:v>Shared-system bone screening and clinical eligibility; candidate awaiting human full-text/identity adjudication</x:v>
      </x:c>
      <x:c r="K45" s="2296" t="str">
        <x:v>G04, G05</x:v>
      </x:c>
      <x:c r="L45" s="2296" t="str">
        <x:v>Abstract and publisher preview only</x:v>
      </x:c>
      <x:c r="M45" s="2324" t="str"/>
      <x:c r="N45" s="2327" t="str">
        <x:v>https://pubmed.ncbi.nlm.nih.gov/38459983/</x:v>
      </x:c>
      <x:c r="O45" s="2296" t="str">
        <x:v>10.1007/s00256-024-04643-1; PMID 38459983</x:v>
      </x:c>
      <x:c r="P45" s="2329" t="str">
        <x:v>Candidate: identity eligibility unresolved; human screening pending</x:v>
      </x:c>
      <x:c r="Q45" s="2296" t="str">
        <x:v>Exact field/source and coding not reported in accessible abstract; claims study population; gender identity not reported</x:v>
      </x:c>
      <x:c r="R45" s="2330" t="str">
        <x:v>Provisional AI extraction on 2026-09-21. Not included in a confirmed-cisgender primary synthesis; no formal risk-of-bias or certainty assessment.</x:v>
      </x:c>
      <x:c r="S45" s="2296" t="str">
        <x:v>Patient care / access</x:v>
      </x:c>
      <x:c r="T45" s="2296" t="str">
        <x:v>Medicare beneficiary</x:v>
      </x:c>
      <x:c r="U45" s="2296" t="str">
        <x:v>Exact field/source and coding not reported in accessible abstract; claims study population; gender identity not reported</x:v>
      </x:c>
      <x:c r="V45" s="2296" t="str">
        <x:v>No physician-sex comparison</x:v>
      </x:c>
      <x:c r="W45" s="2296" t="str">
        <x:v>Unadjusted female/male contrast within Asian American beneficiaries; not all Medicare beneficiaries</x:v>
      </x:c>
      <x:c r="X45" s="2296" t="str">
        <x:v>Shared bone system. Utilization does not identify denied claims or reimbursement causation; identity remains unresolved.</x:v>
      </x:c>
    </x:row>
    <x:row r="46" ht="117" customHeight="1">
      <x:c r="A46" s="2302" t="str">
        <x:v>L-R04</x:v>
      </x:c>
      <x:c r="B46" s="2302" t="str">
        <x:v>Gillespie CW, et al. Trends and Disparities in Osteoporosis Screening Among Women in the United States, 2008-2014. Am J Med. 2017;130(3):306-316.</x:v>
      </x:c>
      <x:c r="C46" s="2325" t="n">
        <x:v>2017</x:v>
      </x:c>
      <x:c r="D46" s="2302" t="str">
        <x:v>Retrospective administrative claims cohort</x:v>
      </x:c>
      <x:c r="E46" s="2302" t="str">
        <x:v>588,737 Medicare Advantage women aged &gt;=50 within 1,638,454 MA/commercial women</x:v>
      </x:c>
      <x:c r="F46" s="2302" t="str">
        <x:v>Medicare Advantage and commercial insurance; no Medicare FFS</x:v>
      </x:c>
      <x:c r="G46" s="2302" t="str">
        <x:v>2008-2014; table calendar-year categories identify start of two-year observation window,2008-2013</x:v>
      </x:c>
      <x:c r="H46" s="2302" t="str">
        <x:v>MA women: two-year bone measurement 22.9% (95% CI 22.8–23.0); age 65–79: 26.8% (26.6–26.9), n=394,791; age &gt;=80: 12.9% (12.7–13.1), n=135,661. Women-only, not a sex-effect estimate.</x:v>
      </x:c>
      <x:c r="I46" s="2302" t="str">
        <x:v>Selected continuously enrolled MA/commercial women; MA descriptive results separable, adjusted models mix payers. Bone measurement broader than DXA; nonreceipt does not prove unmet need. Identity unresolved; no male comparator.</x:v>
      </x:c>
      <x:c r="J46" s="2302" t="str">
        <x:v>Shared-system bone screening and clinical eligibility; candidate awaiting human full-text/identity adjudication</x:v>
      </x:c>
      <x:c r="K46" s="2302" t="str">
        <x:v>G04</x:v>
      </x:c>
      <x:c r="L46" s="2302" t="str">
        <x:v>Full main article read as publisher-formatted open-access text hosted on ResearchGate; supplementary file not reviewed</x:v>
      </x:c>
      <x:c r="M46" s="2324" t="str"/>
      <x:c r="N46" s="2328" t="str">
        <x:v>https://pubmed.ncbi.nlm.nih.gov/27884649/</x:v>
      </x:c>
      <x:c r="O46" s="2302" t="str">
        <x:v>10.1016/j.amjmed.2016.10.018; PMID 27884649</x:v>
      </x:c>
      <x:c r="P46" s="2329" t="str">
        <x:v>Candidate: identity eligibility unresolved; human screening pending</x:v>
      </x:c>
      <x:c r="Q46" s="2302" t="str">
        <x:v>Enrollee sex obtained from member files (Methods, Data Source,p307); original coding rules not detailed; gender identity not reported</x:v>
      </x:c>
      <x:c r="R46" s="2330" t="str">
        <x:v>Provisional AI extraction on 2026-09-21. Not included in a confirmed-cisgender primary synthesis; no formal risk-of-bias or certainty assessment.</x:v>
      </x:c>
      <x:c r="S46" s="2302" t="str">
        <x:v>Patient care / access</x:v>
      </x:c>
      <x:c r="T46" s="2302" t="str">
        <x:v>Woman/enrollee; most recent two-year observation window</x:v>
      </x:c>
      <x:c r="U46" s="2302" t="str">
        <x:v>Enrollee sex obtained from member files (Methods, Data Source,p307); original coding rules not detailed; gender identity not reported</x:v>
      </x:c>
      <x:c r="V46" s="2302" t="str">
        <x:v>No physician-sex comparison</x:v>
      </x:c>
      <x:c r="W46" s="2302" t="str">
        <x:v>Within women by age, payer, race/ethnicity and other characteristics; no female/male contrast</x:v>
      </x:c>
      <x:c r="X46" s="2302" t="str">
        <x:v>Shared bone system. Utilization does not identify denied claims or reimbursement causation; identity remains unresolved.</x:v>
      </x:c>
    </x:row>
    <x:row r="47" ht="51" customHeight="1">
      <x:c r="A47" s="2310"/>
      <x:c r="B47" s="2310"/>
      <x:c r="C47" s="2292"/>
      <x:c r="D47" s="2310"/>
      <x:c r="E47" s="2310"/>
      <x:c r="F47" s="2310"/>
      <x:c r="G47" s="2310"/>
      <x:c r="H47" s="2310"/>
      <x:c r="I47" s="2310"/>
      <x:c r="J47" s="2310"/>
      <x:c r="K47" s="2292"/>
      <x:c r="L47" s="2292"/>
      <x:c r="M47" s="2292"/>
      <x:c r="N47" s="2292"/>
      <x:c r="O47" s="2292"/>
      <x:c r="P47" s="2311"/>
      <x:c r="Q47" s="2311"/>
      <x:c r="R47" s="2311"/>
      <x:c r="S47" s="2311"/>
      <x:c r="T47" s="2311"/>
      <x:c r="U47" s="2311"/>
      <x:c r="V47" s="2311"/>
      <x:c r="W47" s="2311"/>
      <x:c r="X47" s="2311"/>
    </x:row>
    <x:row r="48" ht="51" customHeight="1">
      <x:c r="A48" s="2310"/>
      <x:c r="B48" s="2310"/>
      <x:c r="C48" s="2292"/>
      <x:c r="D48" s="2310"/>
      <x:c r="E48" s="2310"/>
      <x:c r="F48" s="2310"/>
      <x:c r="G48" s="2310"/>
      <x:c r="H48" s="2310"/>
      <x:c r="I48" s="2310"/>
      <x:c r="J48" s="2310"/>
      <x:c r="K48" s="2292"/>
      <x:c r="L48" s="2292"/>
      <x:c r="M48" s="2292"/>
      <x:c r="N48" s="2292"/>
      <x:c r="O48" s="2292"/>
      <x:c r="P48" s="2311"/>
      <x:c r="Q48" s="2311"/>
      <x:c r="R48" s="2311"/>
      <x:c r="S48" s="2311"/>
      <x:c r="T48" s="2311"/>
      <x:c r="U48" s="2311"/>
      <x:c r="V48" s="2311"/>
      <x:c r="W48" s="2311"/>
      <x:c r="X48" s="2311"/>
    </x:row>
    <x:row r="49" ht="22.5" customHeight="1">
      <x:c r="A49" s="2291" t="str">
        <x:v>Review method and population eligibility</x:v>
      </x:c>
      <x:c r="B49" s="2291" t="str">
        <x:v>Review method and population eligibility</x:v>
      </x:c>
      <x:c r="C49" s="2291" t="str">
        <x:v>Review method and population eligibility</x:v>
      </x:c>
      <x:c r="D49" s="2291" t="str">
        <x:v>Review method and population eligibility</x:v>
      </x:c>
      <x:c r="E49" s="2291" t="str">
        <x:v>Review method and population eligibility</x:v>
      </x:c>
      <x:c r="F49" s="2291" t="str">
        <x:v>Review method and population eligibility</x:v>
      </x:c>
      <x:c r="G49" s="2310"/>
      <x:c r="H49" s="2310"/>
      <x:c r="I49" s="2310"/>
      <x:c r="J49" s="2310"/>
      <x:c r="K49" s="2292"/>
      <x:c r="L49" s="2292"/>
      <x:c r="M49" s="2292"/>
      <x:c r="N49" s="2292"/>
      <x:c r="O49" s="2292"/>
      <x:c r="P49" s="2311"/>
      <x:c r="Q49" s="2311"/>
      <x:c r="R49" s="2311"/>
      <x:c r="S49" s="2311"/>
      <x:c r="T49" s="2311"/>
      <x:c r="U49" s="2311"/>
      <x:c r="V49" s="2311"/>
      <x:c r="W49" s="2311"/>
      <x:c r="X49" s="2311"/>
    </x:row>
    <x:row r="50" ht="51" customHeight="1">
      <x:c r="A50" s="2309" t="str">
        <x:v>National question</x:v>
      </x:c>
      <x:c r="B50" s="2309" t="str">
        <x:v>National question</x:v>
      </x:c>
      <x:c r="C50" s="2292"/>
      <x:c r="D50" s="2310" t="str">
        <x:v>Across Medicare, how do coverage rules, payment values, cost sharing and administrative requirements affect access to clinically indicated care for women and men, including unequal effects of formally neutral rules?</x:v>
      </x:c>
      <x:c r="E50" s="2310" t="str">
        <x:v>Across Medicare, how do coverage rules, payment values, cost sharing and administrative requirements affect access to clinically indicated care for women and men, including unequal effects of formally neutral rules?</x:v>
      </x:c>
      <x:c r="F50" s="2310" t="str">
        <x:v>Across Medicare, how do coverage rules, payment values, cost sharing and administrative requirements affect access to clinically indicated care for women and men, including unequal effects of formally neutral rules?</x:v>
      </x:c>
      <x:c r="G50" s="2310" t="str">
        <x:v>Across Medicare, how do coverage rules, payment values, cost sharing and administrative requirements affect access to clinically indicated care for women and men, including unequal effects of formally neutral rules?</x:v>
      </x:c>
      <x:c r="H50" s="2310" t="str">
        <x:v>Across Medicare, how do coverage rules, payment values, cost sharing and administrative requirements affect access to clinically indicated care for women and men, including unequal effects of formally neutral rules?</x:v>
      </x:c>
      <x:c r="I50" s="2310" t="str">
        <x:v>Across Medicare, how do coverage rules, payment values, cost sharing and administrative requirements affect access to clinically indicated care for women and men, including unequal effects of formally neutral rules?</x:v>
      </x:c>
      <x:c r="J50" s="2310" t="str">
        <x:v>Across Medicare, how do coverage rules, payment values, cost sharing and administrative requirements affect access to clinically indicated care for women and men, including unequal effects of formally neutral rules?</x:v>
      </x:c>
      <x:c r="K50" s="2292"/>
      <x:c r="L50" s="2292"/>
      <x:c r="M50" s="2292"/>
      <x:c r="N50" s="2292"/>
      <x:c r="O50" s="2292"/>
      <x:c r="P50" s="2311"/>
      <x:c r="Q50" s="2311"/>
      <x:c r="R50" s="2311"/>
      <x:c r="S50" s="2311"/>
      <x:c r="T50" s="2311"/>
      <x:c r="U50" s="2311"/>
      <x:c r="V50" s="2311"/>
      <x:c r="W50" s="2311"/>
      <x:c r="X50" s="2311"/>
    </x:row>
    <x:row r="51" ht="51" customHeight="1">
      <x:c r="A51" s="2309" t="str">
        <x:v>Medicare benchmark</x:v>
      </x:c>
      <x:c r="B51" s="2309" t="str">
        <x:v>Medicare benchmark</x:v>
      </x:c>
      <x:c r="C51" s="2292"/>
      <x:c r="D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E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F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G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H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I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J51" s="2310" t="str">
        <x:v>Use Medicare as a national policy benchmark for equitable access to clinically indicated care in later life, when chronic illness and per-person healthcare use are substantial. Compare coverage, payment and access with clinical need across shared systems and reproductive anatomy/physiology.</x:v>
      </x:c>
      <x:c r="K51" s="2292"/>
      <x:c r="L51" s="2292"/>
      <x:c r="M51" s="2292"/>
      <x:c r="N51" s="2292"/>
      <x:c r="O51" s="2292"/>
      <x:c r="P51" s="2311"/>
      <x:c r="Q51" s="2311"/>
      <x:c r="R51" s="2311"/>
      <x:c r="S51" s="2311"/>
      <x:c r="T51" s="2311"/>
      <x:c r="U51" s="2311"/>
      <x:c r="V51" s="2311"/>
      <x:c r="W51" s="2311"/>
      <x:c r="X51" s="2311"/>
    </x:row>
    <x:row r="52" ht="51" customHeight="1">
      <x:c r="A52" s="2309" t="str">
        <x:v>Age and entitlement</x:v>
      </x:c>
      <x:c r="B52" s="2309" t="str">
        <x:v>Age and entitlement</x:v>
      </x:c>
      <x:c r="C52" s="2292"/>
      <x:c r="D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E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F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G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H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I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J52" s="2310" t="str">
        <x:v>Emphasize later-life care without excluding younger Medicare beneficiaries. Analyze ages 65–74, 75–84 and 85+ when reported; distinguish under-65 beneficiaries and disability, ESRD or ALS entitlement where available. Preserve mixed-age studies with explicit applicability limits.</x:v>
      </x:c>
      <x:c r="K52" s="2292"/>
      <x:c r="L52" s="2292"/>
      <x:c r="M52" s="2292"/>
      <x:c r="N52" s="2292"/>
      <x:c r="O52" s="2292"/>
      <x:c r="P52" s="2311"/>
      <x:c r="Q52" s="2311"/>
      <x:c r="R52" s="2311"/>
      <x:c r="S52" s="2311"/>
      <x:c r="T52" s="2311"/>
      <x:c r="U52" s="2311"/>
      <x:c r="V52" s="2311"/>
      <x:c r="W52" s="2311"/>
      <x:c r="X52" s="2311"/>
    </x:row>
    <x:row r="53" ht="51" customHeight="1">
      <x:c r="A53" s="2309" t="str">
        <x:v>Measures and inference</x:v>
      </x:c>
      <x:c r="B53" s="2309" t="str">
        <x:v>Measures and inference</x:v>
      </x:c>
      <x:c r="C53" s="2292"/>
      <x:c r="D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E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F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G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H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I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J53" s="2310" t="str">
        <x:v>Separate per-person utilization, spending, unmet need and share of national spending. Cross-sectional age comparisons do not establish a lifetime share of care or isolate aging as the cause. Medicare enrollment is not an age variable, and Medicare policy is not a universal measure of clinical appropriateness.</x:v>
      </x:c>
      <x:c r="K53" s="2292"/>
      <x:c r="L53" s="2292"/>
      <x:c r="M53" s="2292"/>
      <x:c r="N53" s="2292"/>
      <x:c r="O53" s="2292"/>
      <x:c r="P53" s="2311"/>
      <x:c r="Q53" s="2311"/>
      <x:c r="R53" s="2311"/>
      <x:c r="S53" s="2311"/>
      <x:c r="T53" s="2311"/>
      <x:c r="U53" s="2311"/>
      <x:c r="V53" s="2311"/>
      <x:c r="W53" s="2311"/>
      <x:c r="X53" s="2311"/>
    </x:row>
    <x:row r="54" ht="51" customHeight="1">
      <x:c r="A54" s="2309" t="str">
        <x:v>Age in sex comparisons</x:v>
      </x:c>
      <x:c r="B54" s="2309" t="str">
        <x:v>Age in sex comparisons</x:v>
      </x:c>
      <x:c r="C54" s="2312"/>
      <x:c r="D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E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F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G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H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I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J54" s="2310" t="str">
        <x:v>For sex comparisons, retain age distribution, clinical need, severity, follow-up/person-time and mortality where available. Present crude and age-standardized or stratified results when justified. Prespecify adjustment for disease burden, disability and care setting; do not automatically remove potential mechanisms of inequity.</x:v>
      </x:c>
      <x:c r="K54" s="2292"/>
      <x:c r="L54" s="2292"/>
      <x:c r="M54" s="2292"/>
      <x:c r="N54" s="2292"/>
      <x:c r="O54" s="2292"/>
      <x:c r="P54" s="2311"/>
      <x:c r="Q54" s="2311"/>
      <x:c r="R54" s="2311"/>
      <x:c r="S54" s="2311"/>
      <x:c r="T54" s="2311"/>
      <x:c r="U54" s="2311"/>
      <x:c r="V54" s="2311"/>
      <x:c r="W54" s="2311"/>
      <x:c r="X54" s="2311"/>
    </x:row>
    <x:row r="55" ht="51" customHeight="1">
      <x:c r="A55" s="2309" t="str">
        <x:v>Motivating example</x:v>
      </x:c>
      <x:c r="B55" s="2309" t="str">
        <x:v>Motivating example</x:v>
      </x:c>
      <x:c r="C55" s="2310"/>
      <x:c r="D55" s="2310" t="str">
        <x:v>Estradiol is one motivating case in a national review of drugs, procedures and care pathways; a single drug finding cannot establish or resolve the national question.</x:v>
      </x:c>
      <x:c r="E55" s="2310" t="str">
        <x:v>Estradiol is one motivating case in a national review of drugs, procedures and care pathways; a single drug finding cannot establish or resolve the national question.</x:v>
      </x:c>
      <x:c r="F55" s="2310" t="str">
        <x:v>Estradiol is one motivating case in a national review of drugs, procedures and care pathways; a single drug finding cannot establish or resolve the national question.</x:v>
      </x:c>
      <x:c r="G55" s="2310" t="str">
        <x:v>Estradiol is one motivating case in a national review of drugs, procedures and care pathways; a single drug finding cannot establish or resolve the national question.</x:v>
      </x:c>
      <x:c r="H55" s="2310" t="str">
        <x:v>Estradiol is one motivating case in a national review of drugs, procedures and care pathways; a single drug finding cannot establish or resolve the national question.</x:v>
      </x:c>
      <x:c r="I55" s="2310" t="str">
        <x:v>Estradiol is one motivating case in a national review of drugs, procedures and care pathways; a single drug finding cannot establish or resolve the national question.</x:v>
      </x:c>
      <x:c r="J55" s="2310" t="str">
        <x:v>Estradiol is one motivating case in a national review of drugs, procedures and care pathways; a single drug finding cannot establish or resolve the national question.</x:v>
      </x:c>
      <x:c r="K55" s="2292"/>
      <x:c r="L55" s="2292"/>
      <x:c r="M55" s="2292"/>
      <x:c r="N55" s="2292"/>
      <x:c r="O55" s="2292"/>
      <x:c r="P55" s="2311"/>
      <x:c r="Q55" s="2311"/>
      <x:c r="R55" s="2311"/>
      <x:c r="S55" s="2311"/>
      <x:c r="T55" s="2311"/>
      <x:c r="U55" s="2311"/>
      <x:c r="V55" s="2311"/>
      <x:c r="W55" s="2311"/>
      <x:c r="X55" s="2311"/>
    </x:row>
    <x:row r="56" ht="51" customHeight="1">
      <x:c r="A56" s="2309" t="str">
        <x:v>Structural effects</x:v>
      </x:c>
      <x:c r="B56" s="2309" t="str">
        <x:v>Structural effects</x:v>
      </x:c>
      <x:c r="C56" s="2312"/>
      <x:c r="D56" s="2310" t="str">
        <x:v>Examine explicit differences and unequal effects of the same rules. Distinguish coverage, payment valuation, patient spending and realized access. Utilization and service mix may be mechanisms as well as confounders.</x:v>
      </x:c>
      <x:c r="E56" s="2310" t="str">
        <x:v>Examine explicit differences and unequal effects of the same rules. Distinguish coverage, payment valuation, patient spending and realized access. Utilization and service mix may be mechanisms as well as confounders.</x:v>
      </x:c>
      <x:c r="F56" s="2310" t="str">
        <x:v>Examine explicit differences and unequal effects of the same rules. Distinguish coverage, payment valuation, patient spending and realized access. Utilization and service mix may be mechanisms as well as confounders.</x:v>
      </x:c>
      <x:c r="G56" s="2310" t="str">
        <x:v>Examine explicit differences and unequal effects of the same rules. Distinguish coverage, payment valuation, patient spending and realized access. Utilization and service mix may be mechanisms as well as confounders.</x:v>
      </x:c>
      <x:c r="H56" s="2310" t="str">
        <x:v>Examine explicit differences and unequal effects of the same rules. Distinguish coverage, payment valuation, patient spending and realized access. Utilization and service mix may be mechanisms as well as confounders.</x:v>
      </x:c>
      <x:c r="I56" s="2310" t="str">
        <x:v>Examine explicit differences and unequal effects of the same rules. Distinguish coverage, payment valuation, patient spending and realized access. Utilization and service mix may be mechanisms as well as confounders.</x:v>
      </x:c>
      <x:c r="J56" s="2310" t="str">
        <x:v>Examine explicit differences and unequal effects of the same rules. Distinguish coverage, payment valuation, patient spending and realized access. Utilization and service mix may be mechanisms as well as confounders.</x:v>
      </x:c>
      <x:c r="K56" s="2292"/>
      <x:c r="L56" s="2292"/>
      <x:c r="M56" s="2292"/>
      <x:c r="N56" s="2292"/>
      <x:c r="O56" s="2292"/>
      <x:c r="P56" s="2311"/>
      <x:c r="Q56" s="2311"/>
      <x:c r="R56" s="2311"/>
      <x:c r="S56" s="2311"/>
      <x:c r="T56" s="2311"/>
      <x:c r="U56" s="2311"/>
      <x:c r="V56" s="2311"/>
      <x:c r="W56" s="2311"/>
      <x:c r="X56" s="2311"/>
    </x:row>
    <x:row r="57" ht="51" customHeight="1">
      <x:c r="A57" s="2309" t="str">
        <x:v>Population scope</x:v>
      </x:c>
      <x:c r="B57" s="2309" t="str">
        <x:v>Population scope</x:v>
      </x:c>
      <x:c r="C57" s="2312"/>
      <x:c r="D57" s="2310" t="str">
        <x:v>Care for cisgender men and women. Exclude transgender-focused patient evidence and gender-affirming-care indications from the current review and future white paper.</x:v>
      </x:c>
      <x:c r="E57" s="2310" t="str">
        <x:v>Care for cisgender men and women. Exclude transgender-focused patient evidence and gender-affirming-care indications from the current review and future white paper.</x:v>
      </x:c>
      <x:c r="F57" s="2310" t="str">
        <x:v>Care for cisgender men and women. Exclude transgender-focused patient evidence and gender-affirming-care indications from the current review and future white paper.</x:v>
      </x:c>
      <x:c r="G57" s="2310" t="str">
        <x:v>Care for cisgender men and women. Exclude transgender-focused patient evidence and gender-affirming-care indications from the current review and future white paper.</x:v>
      </x:c>
      <x:c r="H57" s="2310" t="str">
        <x:v>Care for cisgender men and women. Exclude transgender-focused patient evidence and gender-affirming-care indications from the current review and future white paper.</x:v>
      </x:c>
      <x:c r="I57" s="2310" t="str">
        <x:v>Care for cisgender men and women. Exclude transgender-focused patient evidence and gender-affirming-care indications from the current review and future white paper.</x:v>
      </x:c>
      <x:c r="J57" s="2310" t="str">
        <x:v>Care for cisgender men and women. Exclude transgender-focused patient evidence and gender-affirming-care indications from the current review and future white paper.</x:v>
      </x:c>
      <x:c r="K57" s="2292"/>
      <x:c r="L57" s="2292"/>
      <x:c r="M57" s="2292"/>
      <x:c r="N57" s="2292"/>
      <x:c r="O57" s="2292"/>
      <x:c r="P57" s="2311"/>
      <x:c r="Q57" s="2311"/>
      <x:c r="R57" s="2311"/>
      <x:c r="S57" s="2311"/>
      <x:c r="T57" s="2311"/>
      <x:c r="U57" s="2311"/>
      <x:c r="V57" s="2311"/>
      <x:c r="W57" s="2311"/>
      <x:c r="X57" s="2311"/>
    </x:row>
    <x:row r="58" ht="51" customHeight="1">
      <x:c r="A58" s="2309" t="str">
        <x:v>Mixed populations</x:v>
      </x:c>
      <x:c r="B58" s="2309" t="str">
        <x:v>Mixed populations</x:v>
      </x:c>
      <x:c r="C58" s="2310"/>
      <x:c r="D58" s="2310" t="str">
        <x:v>Include only separately extractable eligible cisgender male/female results. Exclude nonseparable mixed results from primary synthesis and record the reason.</x:v>
      </x:c>
      <x:c r="E58" s="2310" t="str">
        <x:v>Include only separately extractable eligible cisgender male/female results. Exclude nonseparable mixed results from primary synthesis and record the reason.</x:v>
      </x:c>
      <x:c r="F58" s="2310" t="str">
        <x:v>Include only separately extractable eligible cisgender male/female results. Exclude nonseparable mixed results from primary synthesis and record the reason.</x:v>
      </x:c>
      <x:c r="G58" s="2310" t="str">
        <x:v>Include only separately extractable eligible cisgender male/female results. Exclude nonseparable mixed results from primary synthesis and record the reason.</x:v>
      </x:c>
      <x:c r="H58" s="2310" t="str">
        <x:v>Include only separately extractable eligible cisgender male/female results. Exclude nonseparable mixed results from primary synthesis and record the reason.</x:v>
      </x:c>
      <x:c r="I58" s="2310" t="str">
        <x:v>Include only separately extractable eligible cisgender male/female results. Exclude nonseparable mixed results from primary synthesis and record the reason.</x:v>
      </x:c>
      <x:c r="J58" s="2310" t="str">
        <x:v>Include only separately extractable eligible cisgender male/female results. Exclude nonseparable mixed results from primary synthesis and record the reason.</x:v>
      </x:c>
      <x:c r="K58" s="2292"/>
      <x:c r="L58" s="2292"/>
      <x:c r="M58" s="2292"/>
      <x:c r="N58" s="2292"/>
      <x:c r="O58" s="2292"/>
      <x:c r="P58" s="2311"/>
      <x:c r="Q58" s="2311"/>
      <x:c r="R58" s="2311"/>
      <x:c r="S58" s="2311"/>
      <x:c r="T58" s="2311"/>
      <x:c r="U58" s="2311"/>
      <x:c r="V58" s="2311"/>
      <x:c r="W58" s="2311"/>
      <x:c r="X58" s="2311"/>
    </x:row>
    <x:row r="59" ht="51" customHeight="1">
      <x:c r="A59" s="2309" t="str">
        <x:v>Identity not reported</x:v>
      </x:c>
      <x:c r="B59" s="2309" t="str">
        <x:v>Identity not reported</x:v>
      </x:c>
      <x:c r="C59" s="2310"/>
      <x:c r="D59" s="2310" t="str">
        <x:v>Male/female categories do not establish cisgender status. Retain such papers as candidates, record identity as not reported, and resolve eligibility during full-text screening. Do not claim zero transgender participants.</x:v>
      </x:c>
      <x:c r="E59" s="2310" t="str">
        <x:v>Male/female categories do not establish cisgender status. Retain such papers as candidates, record identity as not reported, and resolve eligibility during full-text screening. Do not claim zero transgender participants.</x:v>
      </x:c>
      <x:c r="F59" s="2310" t="str">
        <x:v>Male/female categories do not establish cisgender status. Retain such papers as candidates, record identity as not reported, and resolve eligibility during full-text screening. Do not claim zero transgender participants.</x:v>
      </x:c>
      <x:c r="G59" s="2310" t="str">
        <x:v>Male/female categories do not establish cisgender status. Retain such papers as candidates, record identity as not reported, and resolve eligibility during full-text screening. Do not claim zero transgender participants.</x:v>
      </x:c>
      <x:c r="H59" s="2310" t="str">
        <x:v>Male/female categories do not establish cisgender status. Retain such papers as candidates, record identity as not reported, and resolve eligibility during full-text screening. Do not claim zero transgender participants.</x:v>
      </x:c>
      <x:c r="I59" s="2310" t="str">
        <x:v>Male/female categories do not establish cisgender status. Retain such papers as candidates, record identity as not reported, and resolve eligibility during full-text screening. Do not claim zero transgender participants.</x:v>
      </x:c>
      <x:c r="J59" s="2310" t="str">
        <x:v>Male/female categories do not establish cisgender status. Retain such papers as candidates, record identity as not reported, and resolve eligibility during full-text screening. Do not claim zero transgender participants.</x:v>
      </x:c>
      <x:c r="K59" s="2292"/>
      <x:c r="L59" s="2292"/>
      <x:c r="M59" s="2292"/>
      <x:c r="N59" s="2292"/>
      <x:c r="O59" s="2292"/>
      <x:c r="P59" s="2311"/>
      <x:c r="Q59" s="2311"/>
      <x:c r="R59" s="2311"/>
      <x:c r="S59" s="2311"/>
      <x:c r="T59" s="2311"/>
      <x:c r="U59" s="2311"/>
      <x:c r="V59" s="2311"/>
      <x:c r="W59" s="2311"/>
      <x:c r="X59" s="2311"/>
    </x:row>
    <x:row r="60" ht="51" customHeight="1">
      <x:c r="A60" s="2309" t="str">
        <x:v>Nonpatient evidence</x:v>
      </x:c>
      <x:c r="B60" s="2309" t="str">
        <x:v>Nonpatient evidence</x:v>
      </x:c>
      <x:c r="C60" s="2310"/>
      <x:c r="D60" s="2310" t="str">
        <x:v>Fee schedules, formularies and benefit policies have no patient cohort. Retain relevant included indications, without implying a cisgender-only patient-level estimate.</x:v>
      </x:c>
      <x:c r="E60" s="2310" t="str">
        <x:v>Fee schedules, formularies and benefit policies have no patient cohort. Retain relevant included indications, without implying a cisgender-only patient-level estimate.</x:v>
      </x:c>
      <x:c r="F60" s="2310" t="str">
        <x:v>Fee schedules, formularies and benefit policies have no patient cohort. Retain relevant included indications, without implying a cisgender-only patient-level estimate.</x:v>
      </x:c>
      <x:c r="G60" s="2310" t="str">
        <x:v>Fee schedules, formularies and benefit policies have no patient cohort. Retain relevant included indications, without implying a cisgender-only patient-level estimate.</x:v>
      </x:c>
      <x:c r="H60" s="2310" t="str">
        <x:v>Fee schedules, formularies and benefit policies have no patient cohort. Retain relevant included indications, without implying a cisgender-only patient-level estimate.</x:v>
      </x:c>
      <x:c r="I60" s="2310" t="str">
        <x:v>Fee schedules, formularies and benefit policies have no patient cohort. Retain relevant included indications, without implying a cisgender-only patient-level estimate.</x:v>
      </x:c>
      <x:c r="J60" s="2310" t="str">
        <x:v>Fee schedules, formularies and benefit policies have no patient cohort. Retain relevant included indications, without implying a cisgender-only patient-level estimate.</x:v>
      </x:c>
      <x:c r="K60" s="2292"/>
      <x:c r="L60" s="2292"/>
      <x:c r="M60" s="2292"/>
      <x:c r="N60" s="2292"/>
      <x:c r="O60" s="2292"/>
      <x:c r="P60" s="2311"/>
      <x:c r="Q60" s="2311"/>
      <x:c r="R60" s="2311"/>
      <x:c r="S60" s="2311"/>
      <x:c r="T60" s="2311"/>
      <x:c r="U60" s="2311"/>
      <x:c r="V60" s="2311"/>
      <x:c r="W60" s="2311"/>
      <x:c r="X60" s="2311"/>
    </x:row>
    <x:row r="61" ht="51" customHeight="1">
      <x:c r="A61" s="2309" t="str">
        <x:v>Analytic subject</x:v>
      </x:c>
      <x:c r="B61" s="2309" t="str">
        <x:v>Analytic subject</x:v>
      </x:c>
      <x:c r="C61" s="2310"/>
      <x:c r="D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E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F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G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H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I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J61" s="2310" t="str">
        <x:v>Code patient sex/gender and physician sex/gender separately for every study, with the unit of analysis and comparison axis. Keep patient care/access, service/anatomy valuation or coverage, physician sex/gender and general patient background distinct. These categories do not replace clinical-basis classification or eligibility screening.</x:v>
      </x:c>
      <x:c r="K61" s="2292"/>
      <x:c r="L61" s="2292"/>
      <x:c r="M61" s="2292"/>
      <x:c r="N61" s="2292"/>
      <x:c r="O61" s="2292"/>
      <x:c r="P61" s="2311"/>
      <x:c r="Q61" s="2311"/>
      <x:c r="R61" s="2311"/>
      <x:c r="S61" s="2311"/>
      <x:c r="T61" s="2311"/>
      <x:c r="U61" s="2311"/>
      <x:c r="V61" s="2311"/>
      <x:c r="W61" s="2311"/>
      <x:c r="X61" s="2311"/>
    </x:row>
    <x:row r="62" ht="51" customHeight="1">
      <x:c r="A62" s="2309" t="str">
        <x:v>Clinician context</x:v>
      </x:c>
      <x:c r="B62" s="2309" t="str">
        <x:v>Clinician context</x:v>
      </x:c>
      <x:c r="C62" s="2312"/>
      <x:c r="D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E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F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G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H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I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J62" s="2310" t="str">
        <x:v>Physician-gender payment studies remain a separate contextual stream outside the primary patient-sex disparity synthesis. Distinguish annual collections, per-service payments, complete billing circumstances and salary; code-matched payment differences are not automatically identical-service differences. Clinician interview participants or prescriber data do not by themselves make a study a physician-gender comparison.</x:v>
      </x:c>
      <x:c r="K62" s="2292"/>
      <x:c r="L62" s="2292"/>
      <x:c r="M62" s="2292"/>
      <x:c r="N62" s="2292"/>
      <x:c r="O62" s="2292"/>
      <x:c r="P62" s="2311"/>
      <x:c r="Q62" s="2311"/>
      <x:c r="R62" s="2311"/>
      <x:c r="S62" s="2311"/>
      <x:c r="T62" s="2311"/>
      <x:c r="U62" s="2311"/>
      <x:c r="V62" s="2311"/>
      <x:c r="W62" s="2311"/>
      <x:c r="X62" s="2311"/>
    </x:row>
    <x:row r="63" ht="51" customHeight="1">
      <x:c r="A63" s="2309" t="str">
        <x:v>Joint sex/gender analysis</x:v>
      </x:c>
      <x:c r="B63" s="2309" t="str">
        <x:v>Joint sex/gender analysis</x:v>
      </x:c>
      <x:c r="C63" s="2312"/>
      <x:c r="D63" s="2310" t="str">
        <x:v>Code both patient and physician sex/gender when analyzed together; retain concordance or interaction results separately from each main effect. Never infer a patient-sex effect from a physician-gender comparison, a specialty label, or procedure anatomy.</x:v>
      </x:c>
      <x:c r="E63" s="2310" t="str">
        <x:v>Code both patient and physician sex/gender when analyzed together; retain concordance or interaction results separately from each main effect. Never infer a patient-sex effect from a physician-gender comparison, a specialty label, or procedure anatomy.</x:v>
      </x:c>
      <x:c r="F63" s="2310" t="str">
        <x:v>Code both patient and physician sex/gender when analyzed together; retain concordance or interaction results separately from each main effect. Never infer a patient-sex effect from a physician-gender comparison, a specialty label, or procedure anatomy.</x:v>
      </x:c>
      <x:c r="G63" s="2310" t="str">
        <x:v>Code both patient and physician sex/gender when analyzed together; retain concordance or interaction results separately from each main effect. Never infer a patient-sex effect from a physician-gender comparison, a specialty label, or procedure anatomy.</x:v>
      </x:c>
      <x:c r="H63" s="2310" t="str">
        <x:v>Code both patient and physician sex/gender when analyzed together; retain concordance or interaction results separately from each main effect. Never infer a patient-sex effect from a physician-gender comparison, a specialty label, or procedure anatomy.</x:v>
      </x:c>
      <x:c r="I63" s="2310" t="str">
        <x:v>Code both patient and physician sex/gender when analyzed together; retain concordance or interaction results separately from each main effect. Never infer a patient-sex effect from a physician-gender comparison, a specialty label, or procedure anatomy.</x:v>
      </x:c>
      <x:c r="J63" s="2310" t="str">
        <x:v>Code both patient and physician sex/gender when analyzed together; retain concordance or interaction results separately from each main effect. Never infer a patient-sex effect from a physician-gender comparison, a specialty label, or procedure anatomy.</x:v>
      </x:c>
      <x:c r="K63" s="2292"/>
      <x:c r="L63" s="2292"/>
      <x:c r="M63" s="2292"/>
      <x:c r="N63" s="2292"/>
      <x:c r="O63" s="2292"/>
      <x:c r="P63" s="2311"/>
      <x:c r="Q63" s="2311"/>
      <x:c r="R63" s="2311"/>
      <x:c r="S63" s="2311"/>
      <x:c r="T63" s="2311"/>
      <x:c r="U63" s="2311"/>
      <x:c r="V63" s="2311"/>
      <x:c r="W63" s="2311"/>
      <x:c r="X63" s="2311"/>
    </x:row>
    <x:row r="64" ht="51" customHeight="1">
      <x:c r="A64" s="2309" t="str">
        <x:v>Contextual evidence</x:v>
      </x:c>
      <x:c r="B64" s="2309" t="str">
        <x:v>Contextual evidence</x:v>
      </x:c>
      <x:c r="C64" s="2310"/>
      <x:c r="D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E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F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G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H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I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J64" s="2310" t="str">
        <x:v>General reviews support the clinical framework and citation following. Qualitative clinician interviews can identify perceived patient-access barriers, without estimating Medicare disparities. Label these roles separately; cited studies require independent screening.</x:v>
      </x:c>
      <x:c r="K64" s="2292"/>
      <x:c r="L64" s="2292"/>
      <x:c r="M64" s="2292"/>
      <x:c r="N64" s="2292"/>
      <x:c r="O64" s="2292"/>
      <x:c r="P64" s="2311"/>
      <x:c r="Q64" s="2311"/>
      <x:c r="R64" s="2311"/>
      <x:c r="S64" s="2311"/>
      <x:c r="T64" s="2311"/>
      <x:c r="U64" s="2311"/>
      <x:c r="V64" s="2311"/>
      <x:c r="W64" s="2311"/>
      <x:c r="X64" s="2311"/>
    </x:row>
    <x:row r="65" ht="51" customHeight="1">
      <x:c r="A65" s="2309" t="str">
        <x:v>Scope amendment</x:v>
      </x:c>
      <x:c r="B65" s="2309" t="str">
        <x:v>Scope amendment</x:v>
      </x:c>
      <x:c r="C65" s="2310"/>
      <x:c r="D65" s="2310" t="str">
        <x:v>Adopted September 16, 2026 after the initial broad search. This is a documented amendment, not a prospectively registered criterion. Research-scope exclusion is distinct from Medicare noncoverage.</x:v>
      </x:c>
      <x:c r="E65" s="2310" t="str">
        <x:v>Adopted September 16, 2026 after the initial broad search. This is a documented amendment, not a prospectively registered criterion. Research-scope exclusion is distinct from Medicare noncoverage.</x:v>
      </x:c>
      <x:c r="F65" s="2310" t="str">
        <x:v>Adopted September 16, 2026 after the initial broad search. This is a documented amendment, not a prospectively registered criterion. Research-scope exclusion is distinct from Medicare noncoverage.</x:v>
      </x:c>
      <x:c r="G65" s="2310" t="str">
        <x:v>Adopted September 16, 2026 after the initial broad search. This is a documented amendment, not a prospectively registered criterion. Research-scope exclusion is distinct from Medicare noncoverage.</x:v>
      </x:c>
      <x:c r="H65" s="2310" t="str">
        <x:v>Adopted September 16, 2026 after the initial broad search. This is a documented amendment, not a prospectively registered criterion. Research-scope exclusion is distinct from Medicare noncoverage.</x:v>
      </x:c>
      <x:c r="I65" s="2310" t="str">
        <x:v>Adopted September 16, 2026 after the initial broad search. This is a documented amendment, not a prospectively registered criterion. Research-scope exclusion is distinct from Medicare noncoverage.</x:v>
      </x:c>
      <x:c r="J65" s="2310" t="str">
        <x:v>Adopted September 16, 2026 after the initial broad search. This is a documented amendment, not a prospectively registered criterion. Research-scope exclusion is distinct from Medicare noncoverage.</x:v>
      </x:c>
      <x:c r="K65" s="2292"/>
      <x:c r="L65" s="2292"/>
      <x:c r="M65" s="2292"/>
      <x:c r="N65" s="2292"/>
      <x:c r="O65" s="2292"/>
      <x:c r="P65" s="2311"/>
      <x:c r="Q65" s="2311"/>
      <x:c r="R65" s="2311"/>
      <x:c r="S65" s="2311"/>
      <x:c r="T65" s="2311"/>
      <x:c r="U65" s="2311"/>
      <x:c r="V65" s="2311"/>
      <x:c r="W65" s="2311"/>
      <x:c r="X65" s="2311"/>
    </x:row>
    <x:row r="66" ht="51" customHeight="1">
      <x:c r="A66" s="2309" t="str">
        <x:v>Search status</x:v>
      </x:c>
      <x:c r="B66" s="2309" t="str">
        <x:v>Search status</x:v>
      </x:c>
      <x:c r="C66" s="2312"/>
      <x:c r="D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E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F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G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H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I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J66" s="2310" t="str">
        <x:v>PubMed core, supplementary and two targeted extension queries executed September 21, 2026 before PRESS review. 59,147 unique PMIDs identified; search and metadata archives are separate from this selected evidence register. Human screening and other planned databases remain pending.</x:v>
      </x:c>
      <x:c r="K66" s="2292"/>
      <x:c r="L66" s="2292"/>
      <x:c r="M66" s="2292"/>
      <x:c r="N66" s="2292"/>
      <x:c r="O66" s="2292"/>
      <x:c r="P66" s="2311"/>
      <x:c r="Q66" s="2311"/>
      <x:c r="R66" s="2311"/>
      <x:c r="S66" s="2311"/>
      <x:c r="T66" s="2311"/>
      <x:c r="U66" s="2311"/>
      <x:c r="V66" s="2311"/>
      <x:c r="W66" s="2311"/>
      <x:c r="X66" s="2311"/>
    </x:row>
    <x:row r="67" ht="51" customHeight="1">
      <x:c r="A67" s="2309" t="str">
        <x:v>Eligible topic searches</x:v>
      </x:c>
      <x:c r="B67" s="2309" t="str">
        <x:v>Eligible topic searches</x:v>
      </x:c>
      <x:c r="C67" s="2312"/>
      <x:c r="D67" s="2310" t="str">
        <x:v>Sex-specific conditions, conditions predominantly affecting one sex, and shared conditions across reproductive, sexual, cardiovascular, cancer, musculoskeletal, pain, mental health, preventive and rehabilitative care.</x:v>
      </x:c>
      <x:c r="E67" s="2310" t="str">
        <x:v>Sex-specific conditions, conditions predominantly affecting one sex, and shared conditions across reproductive, sexual, cardiovascular, cancer, musculoskeletal, pain, mental health, preventive and rehabilitative care.</x:v>
      </x:c>
      <x:c r="F67" s="2310" t="str">
        <x:v>Sex-specific conditions, conditions predominantly affecting one sex, and shared conditions across reproductive, sexual, cardiovascular, cancer, musculoskeletal, pain, mental health, preventive and rehabilitative care.</x:v>
      </x:c>
      <x:c r="G67" s="2310" t="str">
        <x:v>Sex-specific conditions, conditions predominantly affecting one sex, and shared conditions across reproductive, sexual, cardiovascular, cancer, musculoskeletal, pain, mental health, preventive and rehabilitative care.</x:v>
      </x:c>
      <x:c r="H67" s="2310" t="str">
        <x:v>Sex-specific conditions, conditions predominantly affecting one sex, and shared conditions across reproductive, sexual, cardiovascular, cancer, musculoskeletal, pain, mental health, preventive and rehabilitative care.</x:v>
      </x:c>
      <x:c r="I67" s="2310" t="str">
        <x:v>Sex-specific conditions, conditions predominantly affecting one sex, and shared conditions across reproductive, sexual, cardiovascular, cancer, musculoskeletal, pain, mental health, preventive and rehabilitative care.</x:v>
      </x:c>
      <x:c r="J67" s="2310" t="str">
        <x:v>Sex-specific conditions, conditions predominantly affecting one sex, and shared conditions across reproductive, sexual, cardiovascular, cancer, musculoskeletal, pain, mental health, preventive and rehabilitative care.</x:v>
      </x:c>
      <x:c r="K67" s="2292"/>
      <x:c r="L67" s="2292"/>
      <x:c r="M67" s="2292"/>
      <x:c r="N67" s="2292"/>
      <x:c r="O67" s="2292"/>
      <x:c r="P67" s="2311"/>
      <x:c r="Q67" s="2311"/>
      <x:c r="R67" s="2311"/>
      <x:c r="S67" s="2311"/>
      <x:c r="T67" s="2311"/>
      <x:c r="U67" s="2311"/>
      <x:c r="V67" s="2311"/>
      <x:c r="W67" s="2311"/>
      <x:c r="X67" s="2311"/>
    </x:row>
    <x:row r="68" ht="51" customHeight="1">
      <x:c r="A68" s="2309" t="str">
        <x:v>Policy levels</x:v>
      </x:c>
      <x:c r="B68" s="2309" t="str">
        <x:v>Policy levels</x:v>
      </x:c>
      <x:c r="C68" s="2312"/>
      <x:c r="D68" s="2310" t="str">
        <x:v>Distinguish Original Medicare, Medicare Advantage and Part D; national rules, contractor decisions and plan implementation; preserve policy year and denominators.</x:v>
      </x:c>
      <x:c r="E68" s="2310" t="str">
        <x:v>Distinguish Original Medicare, Medicare Advantage and Part D; national rules, contractor decisions and plan implementation; preserve policy year and denominators.</x:v>
      </x:c>
      <x:c r="F68" s="2310" t="str">
        <x:v>Distinguish Original Medicare, Medicare Advantage and Part D; national rules, contractor decisions and plan implementation; preserve policy year and denominators.</x:v>
      </x:c>
      <x:c r="G68" s="2310" t="str">
        <x:v>Distinguish Original Medicare, Medicare Advantage and Part D; national rules, contractor decisions and plan implementation; preserve policy year and denominators.</x:v>
      </x:c>
      <x:c r="H68" s="2310" t="str">
        <x:v>Distinguish Original Medicare, Medicare Advantage and Part D; national rules, contractor decisions and plan implementation; preserve policy year and denominators.</x:v>
      </x:c>
      <x:c r="I68" s="2310" t="str">
        <x:v>Distinguish Original Medicare, Medicare Advantage and Part D; national rules, contractor decisions and plan implementation; preserve policy year and denominators.</x:v>
      </x:c>
      <x:c r="J68" s="2310" t="str">
        <x:v>Distinguish Original Medicare, Medicare Advantage and Part D; national rules, contractor decisions and plan implementation; preserve policy year and denominators.</x:v>
      </x:c>
      <x:c r="K68" s="2292"/>
      <x:c r="L68" s="2292"/>
      <x:c r="M68" s="2292"/>
      <x:c r="N68" s="2292"/>
      <x:c r="O68" s="2292"/>
      <x:c r="P68" s="2311"/>
      <x:c r="Q68" s="2311"/>
      <x:c r="R68" s="2311"/>
      <x:c r="S68" s="2311"/>
      <x:c r="T68" s="2311"/>
      <x:c r="U68" s="2311"/>
      <x:c r="V68" s="2311"/>
      <x:c r="W68" s="2311"/>
      <x:c r="X68" s="2311"/>
    </x:row>
    <x:row r="69" ht="51" customHeight="1">
      <x:c r="A69" s="2309" t="str">
        <x:v>Source hierarchy</x:v>
      </x:c>
      <x:c r="B69" s="2309" t="str">
        <x:v>Source hierarchy</x:v>
      </x:c>
      <x:c r="C69" s="2312"/>
      <x:c r="D69" s="2310" t="str">
        <x:v>Coverage uses federal benefit rules, CMS/Medicare guidance, named contractor policy and identified formularies. Scientific studies inform effects and disparity hypotheses, not automatic coverage decisions.</x:v>
      </x:c>
      <x:c r="E69" s="2310" t="str">
        <x:v>Coverage uses federal benefit rules, CMS/Medicare guidance, named contractor policy and identified formularies. Scientific studies inform effects and disparity hypotheses, not automatic coverage decisions.</x:v>
      </x:c>
      <x:c r="F69" s="2310" t="str">
        <x:v>Coverage uses federal benefit rules, CMS/Medicare guidance, named contractor policy and identified formularies. Scientific studies inform effects and disparity hypotheses, not automatic coverage decisions.</x:v>
      </x:c>
      <x:c r="G69" s="2310" t="str">
        <x:v>Coverage uses federal benefit rules, CMS/Medicare guidance, named contractor policy and identified formularies. Scientific studies inform effects and disparity hypotheses, not automatic coverage decisions.</x:v>
      </x:c>
      <x:c r="H69" s="2310" t="str">
        <x:v>Coverage uses federal benefit rules, CMS/Medicare guidance, named contractor policy and identified formularies. Scientific studies inform effects and disparity hypotheses, not automatic coverage decisions.</x:v>
      </x:c>
      <x:c r="I69" s="2310" t="str">
        <x:v>Coverage uses federal benefit rules, CMS/Medicare guidance, named contractor policy and identified formularies. Scientific studies inform effects and disparity hypotheses, not automatic coverage decisions.</x:v>
      </x:c>
      <x:c r="J69" s="2310" t="str">
        <x:v>Coverage uses federal benefit rules, CMS/Medicare guidance, named contractor policy and identified formularies. Scientific studies inform effects and disparity hypotheses, not automatic coverage decisions.</x:v>
      </x:c>
      <x:c r="K69" s="2292"/>
      <x:c r="L69" s="2292"/>
      <x:c r="M69" s="2292"/>
      <x:c r="N69" s="2292"/>
      <x:c r="O69" s="2292"/>
      <x:c r="P69" s="2311"/>
      <x:c r="Q69" s="2311"/>
      <x:c r="R69" s="2311"/>
      <x:c r="S69" s="2311"/>
      <x:c r="T69" s="2311"/>
      <x:c r="U69" s="2311"/>
      <x:c r="V69" s="2311"/>
      <x:c r="W69" s="2311"/>
      <x:c r="X69" s="2311"/>
    </x:row>
    <x:row r="70" ht="51" customHeight="1">
      <x:c r="A70" s="2309" t="str">
        <x:v>Study extraction</x:v>
      </x:c>
      <x:c r="B70" s="2309" t="str">
        <x:v>Study extraction</x:v>
      </x:c>
      <x:c r="C70" s="2310"/>
      <x:c r="D70" s="2310" t="str">
        <x:v>Record citation, design, population, payer, period, finding and limitations. Source-access details distinguish abstracts from targeted full-text review. Formal risk-of-bias assessment and comprehensive screening remain outstanding.</x:v>
      </x:c>
      <x:c r="E70" s="2310" t="str">
        <x:v>Record citation, design, population, payer, period, finding and limitations. Source-access details distinguish abstracts from targeted full-text review. Formal risk-of-bias assessment and comprehensive screening remain outstanding.</x:v>
      </x:c>
      <x:c r="F70" s="2310" t="str">
        <x:v>Record citation, design, population, payer, period, finding and limitations. Source-access details distinguish abstracts from targeted full-text review. Formal risk-of-bias assessment and comprehensive screening remain outstanding.</x:v>
      </x:c>
      <x:c r="G70" s="2310" t="str">
        <x:v>Record citation, design, population, payer, period, finding and limitations. Source-access details distinguish abstracts from targeted full-text review. Formal risk-of-bias assessment and comprehensive screening remain outstanding.</x:v>
      </x:c>
      <x:c r="H70" s="2310" t="str">
        <x:v>Record citation, design, population, payer, period, finding and limitations. Source-access details distinguish abstracts from targeted full-text review. Formal risk-of-bias assessment and comprehensive screening remain outstanding.</x:v>
      </x:c>
      <x:c r="I70" s="2310" t="str">
        <x:v>Record citation, design, population, payer, period, finding and limitations. Source-access details distinguish abstracts from targeted full-text review. Formal risk-of-bias assessment and comprehensive screening remain outstanding.</x:v>
      </x:c>
      <x:c r="J70" s="2310" t="str">
        <x:v>Record citation, design, population, payer, period, finding and limitations. Source-access details distinguish abstracts from targeted full-text review. Formal risk-of-bias assessment and comprehensive screening remain outstanding.</x:v>
      </x:c>
      <x:c r="K70" s="2292"/>
      <x:c r="L70" s="2292"/>
      <x:c r="M70" s="2292"/>
      <x:c r="N70" s="2292"/>
      <x:c r="O70" s="2292"/>
      <x:c r="P70" s="2311"/>
      <x:c r="Q70" s="2311"/>
      <x:c r="R70" s="2311"/>
      <x:c r="S70" s="2311"/>
      <x:c r="T70" s="2311"/>
      <x:c r="U70" s="2311"/>
      <x:c r="V70" s="2311"/>
      <x:c r="W70" s="2311"/>
      <x:c r="X70" s="2311"/>
    </x:row>
    <x:row r="71" ht="51" customHeight="1">
      <x:c r="A71" s="2309" t="str">
        <x:v>Coverage status</x:v>
      </x:c>
      <x:c r="B71" s="2309" t="str">
        <x:v>Coverage status</x:v>
      </x:c>
      <x:c r="C71" s="2312"/>
      <x:c r="D71" s="2310" t="str">
        <x:v>Covered with conditions indicates verified benefit or broad listing. Plan dependent and Local decision require further review. Excluded for this use is indication-specific. Not established means unresolved, not denied.</x:v>
      </x:c>
      <x:c r="E71" s="2310" t="str">
        <x:v>Covered with conditions indicates verified benefit or broad listing. Plan dependent and Local decision require further review. Excluded for this use is indication-specific. Not established means unresolved, not denied.</x:v>
      </x:c>
      <x:c r="F71" s="2310" t="str">
        <x:v>Covered with conditions indicates verified benefit or broad listing. Plan dependent and Local decision require further review. Excluded for this use is indication-specific. Not established means unresolved, not denied.</x:v>
      </x:c>
      <x:c r="G71" s="2310" t="str">
        <x:v>Covered with conditions indicates verified benefit or broad listing. Plan dependent and Local decision require further review. Excluded for this use is indication-specific. Not established means unresolved, not denied.</x:v>
      </x:c>
      <x:c r="H71" s="2310" t="str">
        <x:v>Covered with conditions indicates verified benefit or broad listing. Plan dependent and Local decision require further review. Excluded for this use is indication-specific. Not established means unresolved, not denied.</x:v>
      </x:c>
      <x:c r="I71" s="2310" t="str">
        <x:v>Covered with conditions indicates verified benefit or broad listing. Plan dependent and Local decision require further review. Excluded for this use is indication-specific. Not established means unresolved, not denied.</x:v>
      </x:c>
      <x:c r="J71" s="2310" t="str">
        <x:v>Covered with conditions indicates verified benefit or broad listing. Plan dependent and Local decision require further review. Excluded for this use is indication-specific. Not established means unresolved, not denied.</x:v>
      </x:c>
      <x:c r="K71" s="2292"/>
      <x:c r="L71" s="2292"/>
      <x:c r="M71" s="2292"/>
      <x:c r="N71" s="2292"/>
      <x:c r="O71" s="2292"/>
      <x:c r="P71" s="2311"/>
      <x:c r="Q71" s="2311"/>
      <x:c r="R71" s="2311"/>
      <x:c r="S71" s="2311"/>
      <x:c r="T71" s="2311"/>
      <x:c r="U71" s="2311"/>
      <x:c r="V71" s="2311"/>
      <x:c r="W71" s="2311"/>
      <x:c r="X71" s="2311"/>
    </x:row>
    <x:row r="72" ht="51" customHeight="1">
      <x:c r="A72" s="2309" t="str">
        <x:v>Comparison strategy</x:v>
      </x:c>
      <x:c r="B72" s="2309" t="str">
        <x:v>Comparison strategy</x:v>
      </x:c>
      <x:c r="C72" s="2310"/>
      <x:c r="D72" s="2310" t="str">
        <x:v>Use within-condition comparisons, clinically justified service groups and population-burden analyses. Do not require a direct counterpart for every sex-specific service. Consider utilization and service mix as possible mechanisms as well as confounders.</x:v>
      </x:c>
      <x:c r="E72" s="2310" t="str">
        <x:v>Use within-condition comparisons, clinically justified service groups and population-burden analyses. Do not require a direct counterpart for every sex-specific service. Consider utilization and service mix as possible mechanisms as well as confounders.</x:v>
      </x:c>
      <x:c r="F72" s="2310" t="str">
        <x:v>Use within-condition comparisons, clinically justified service groups and population-burden analyses. Do not require a direct counterpart for every sex-specific service. Consider utilization and service mix as possible mechanisms as well as confounders.</x:v>
      </x:c>
      <x:c r="G72" s="2310" t="str">
        <x:v>Use within-condition comparisons, clinically justified service groups and population-burden analyses. Do not require a direct counterpart for every sex-specific service. Consider utilization and service mix as possible mechanisms as well as confounders.</x:v>
      </x:c>
      <x:c r="H72" s="2310" t="str">
        <x:v>Use within-condition comparisons, clinically justified service groups and population-burden analyses. Do not require a direct counterpart for every sex-specific service. Consider utilization and service mix as possible mechanisms as well as confounders.</x:v>
      </x:c>
      <x:c r="I72" s="2310" t="str">
        <x:v>Use within-condition comparisons, clinically justified service groups and population-burden analyses. Do not require a direct counterpart for every sex-specific service. Consider utilization and service mix as possible mechanisms as well as confounders.</x:v>
      </x:c>
      <x:c r="J72" s="2310" t="str">
        <x:v>Use within-condition comparisons, clinically justified service groups and population-burden analyses. Do not require a direct counterpart for every sex-specific service. Consider utilization and service mix as possible mechanisms as well as confounders.</x:v>
      </x:c>
      <x:c r="K72" s="2292"/>
      <x:c r="L72" s="2292"/>
      <x:c r="M72" s="2292"/>
      <x:c r="N72" s="2292"/>
      <x:c r="O72" s="2292"/>
      <x:c r="P72" s="2311"/>
      <x:c r="Q72" s="2311"/>
      <x:c r="R72" s="2311"/>
      <x:c r="S72" s="2311"/>
      <x:c r="T72" s="2311"/>
      <x:c r="U72" s="2311"/>
      <x:c r="V72" s="2311"/>
      <x:c r="W72" s="2311"/>
      <x:c r="X72" s="2311"/>
    </x:row>
    <x:row r="73" ht="51" customHeight="1">
      <x:c r="A73" s="2309" t="str">
        <x:v>Clinical basis</x:v>
      </x:c>
      <x:c r="B73" s="2309" t="str">
        <x:v>Clinical basis</x:v>
      </x:c>
      <x:c r="C73" s="2310"/>
      <x:c r="D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E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F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G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H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I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J73" s="2310" t="str">
        <x:v>Separate shared body systems, female/male reproductive anatomy, female/male reproductive physiology and mixed or site-dependent services. Classify each indication rather than the molecule or assumed patient identity. Keep sex-defined eligibility and disease burden distinct. Classification details are in research/clinical_basis.json.</x:v>
      </x:c>
      <x:c r="K73" s="2292"/>
      <x:c r="L73" s="2292"/>
      <x:c r="M73" s="2292"/>
      <x:c r="N73" s="2292"/>
      <x:c r="O73" s="2292"/>
      <x:c r="P73" s="2311"/>
      <x:c r="Q73" s="2311"/>
      <x:c r="R73" s="2311"/>
      <x:c r="S73" s="2311"/>
      <x:c r="T73" s="2311"/>
      <x:c r="U73" s="2311"/>
      <x:c r="V73" s="2311"/>
      <x:c r="W73" s="2311"/>
      <x:c r="X73" s="2311"/>
    </x:row>
    <x:row r="74" ht="51" customHeight="1">
      <x:c r="A74" s="2309" t="str">
        <x:v>Anatomy comparisons</x:v>
      </x:c>
      <x:c r="B74" s="2309" t="str">
        <x:v>Anatomy comparisons</x:v>
      </x:c>
      <x:c r="C74" s="2310"/>
      <x:c r="D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E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F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G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H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I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J74" s="2310" t="str">
        <x:v>Compare women and men within shared conditions when clinically comparable. For anatomy- or physiology-linked care, assess need, benefit and policy consistency without requiring an opposite-sex counterpart. Split bundled services by organ, indication and procedure before comparative synthesis.</x:v>
      </x:c>
      <x:c r="K74" s="2292"/>
      <x:c r="L74" s="2292"/>
      <x:c r="M74" s="2292"/>
      <x:c r="N74" s="2292"/>
      <x:c r="O74" s="2292"/>
      <x:c r="P74" s="2311"/>
      <x:c r="Q74" s="2311"/>
      <x:c r="R74" s="2311"/>
      <x:c r="S74" s="2311"/>
      <x:c r="T74" s="2311"/>
      <x:c r="U74" s="2311"/>
      <x:c r="V74" s="2311"/>
      <x:c r="W74" s="2311"/>
      <x:c r="X74" s="2311"/>
    </x:row>
    <x:row r="75" ht="51" customHeight="1">
      <x:c r="A75" s="2309" t="str">
        <x:v>Bias assessment</x:v>
      </x:c>
      <x:c r="B75" s="2309" t="str">
        <x:v>Bias assessment</x:v>
      </x:c>
      <x:c r="C75" s="2312"/>
      <x:c r="D75" s="2310" t="str">
        <x:v>Assess clinical need, benefit, time, complexity, setting and alternatives. Distinguish observed disparities, unmet need and evidence of structural inequity. Prespecify adjustment choices; retain null and contradictory results.</x:v>
      </x:c>
      <x:c r="E75" s="2310" t="str">
        <x:v>Assess clinical need, benefit, time, complexity, setting and alternatives. Distinguish observed disparities, unmet need and evidence of structural inequity. Prespecify adjustment choices; retain null and contradictory results.</x:v>
      </x:c>
      <x:c r="F75" s="2310" t="str">
        <x:v>Assess clinical need, benefit, time, complexity, setting and alternatives. Distinguish observed disparities, unmet need and evidence of structural inequity. Prespecify adjustment choices; retain null and contradictory results.</x:v>
      </x:c>
      <x:c r="G75" s="2310" t="str">
        <x:v>Assess clinical need, benefit, time, complexity, setting and alternatives. Distinguish observed disparities, unmet need and evidence of structural inequity. Prespecify adjustment choices; retain null and contradictory results.</x:v>
      </x:c>
      <x:c r="H75" s="2310" t="str">
        <x:v>Assess clinical need, benefit, time, complexity, setting and alternatives. Distinguish observed disparities, unmet need and evidence of structural inequity. Prespecify adjustment choices; retain null and contradictory results.</x:v>
      </x:c>
      <x:c r="I75" s="2310" t="str">
        <x:v>Assess clinical need, benefit, time, complexity, setting and alternatives. Distinguish observed disparities, unmet need and evidence of structural inequity. Prespecify adjustment choices; retain null and contradictory results.</x:v>
      </x:c>
      <x:c r="J75" s="2310" t="str">
        <x:v>Assess clinical need, benefit, time, complexity, setting and alternatives. Distinguish observed disparities, unmet need and evidence of structural inequity. Prespecify adjustment choices; retain null and contradictory results.</x:v>
      </x:c>
      <x:c r="K75" s="2292"/>
      <x:c r="L75" s="2292"/>
      <x:c r="M75" s="2292"/>
      <x:c r="N75" s="2292"/>
      <x:c r="O75" s="2292"/>
      <x:c r="P75" s="2311"/>
      <x:c r="Q75" s="2311"/>
      <x:c r="R75" s="2311"/>
      <x:c r="S75" s="2311"/>
      <x:c r="T75" s="2311"/>
      <x:c r="U75" s="2311"/>
      <x:c r="V75" s="2311"/>
      <x:c r="W75" s="2311"/>
      <x:c r="X75" s="2311"/>
    </x:row>
    <x:row r="76" ht="51" customHeight="1">
      <x:c r="A76" s="2309" t="str">
        <x:v>White paper</x:v>
      </x:c>
      <x:c r="B76" s="2309" t="str">
        <x:v>White paper</x:v>
      </x:c>
      <x:c r="C76" s="2310"/>
      <x:c r="D76" s="2310" t="str">
        <x:v>State the amended population scope and actual measurement of sex/gender. Do not relabel sex-coded cohorts as confirmed cisgender. Findings do not address the excluded population.</x:v>
      </x:c>
      <x:c r="E76" s="2310" t="str">
        <x:v>State the amended population scope and actual measurement of sex/gender. Do not relabel sex-coded cohorts as confirmed cisgender. Findings do not address the excluded population.</x:v>
      </x:c>
      <x:c r="F76" s="2310" t="str">
        <x:v>State the amended population scope and actual measurement of sex/gender. Do not relabel sex-coded cohorts as confirmed cisgender. Findings do not address the excluded population.</x:v>
      </x:c>
      <x:c r="G76" s="2310" t="str">
        <x:v>State the amended population scope and actual measurement of sex/gender. Do not relabel sex-coded cohorts as confirmed cisgender. Findings do not address the excluded population.</x:v>
      </x:c>
      <x:c r="H76" s="2310" t="str">
        <x:v>State the amended population scope and actual measurement of sex/gender. Do not relabel sex-coded cohorts as confirmed cisgender. Findings do not address the excluded population.</x:v>
      </x:c>
      <x:c r="I76" s="2310" t="str">
        <x:v>State the amended population scope and actual measurement of sex/gender. Do not relabel sex-coded cohorts as confirmed cisgender. Findings do not address the excluded population.</x:v>
      </x:c>
      <x:c r="J76" s="2310" t="str">
        <x:v>State the amended population scope and actual measurement of sex/gender. Do not relabel sex-coded cohorts as confirmed cisgender. Findings do not address the excluded population.</x:v>
      </x:c>
      <x:c r="K76" s="2292"/>
      <x:c r="L76" s="2292"/>
      <x:c r="M76" s="2292"/>
      <x:c r="N76" s="2292"/>
      <x:c r="O76" s="2292"/>
      <x:c r="P76" s="2311"/>
      <x:c r="Q76" s="2311"/>
      <x:c r="R76" s="2311"/>
      <x:c r="S76" s="2311"/>
      <x:c r="T76" s="2311"/>
      <x:c r="U76" s="2311"/>
      <x:c r="V76" s="2311"/>
      <x:c r="W76" s="2311"/>
      <x:c r="X76" s="2311"/>
    </x:row>
    <x:row r="77" ht="51" customHeight="1">
      <x:c r="A77" s="2309" t="str">
        <x:v>Bibliography</x:v>
      </x:c>
      <x:c r="B77" s="2309" t="str">
        <x:v>Bibliography</x:v>
      </x:c>
      <x:c r="C77" s="2310"/>
      <x:c r="D77" s="2310" t="str">
        <x:v>Use stable [L-ID] citations in drafts. The companion bibliography and RIS export refresh with this register. Metadata verification, full-text extraction, eligibility and risk-of-bias review are separate. Linked corrections are not independent studies.</x:v>
      </x:c>
      <x:c r="E77" s="2310" t="str">
        <x:v>Use stable [L-ID] citations in drafts. The companion bibliography and RIS export refresh with this register. Metadata verification, full-text extraction, eligibility and risk-of-bias review are separate. Linked corrections are not independent studies.</x:v>
      </x:c>
      <x:c r="F77" s="2310" t="str">
        <x:v>Use stable [L-ID] citations in drafts. The companion bibliography and RIS export refresh with this register. Metadata verification, full-text extraction, eligibility and risk-of-bias review are separate. Linked corrections are not independent studies.</x:v>
      </x:c>
      <x:c r="G77" s="2310" t="str">
        <x:v>Use stable [L-ID] citations in drafts. The companion bibliography and RIS export refresh with this register. Metadata verification, full-text extraction, eligibility and risk-of-bias review are separate. Linked corrections are not independent studies.</x:v>
      </x:c>
      <x:c r="H77" s="2310" t="str">
        <x:v>Use stable [L-ID] citations in drafts. The companion bibliography and RIS export refresh with this register. Metadata verification, full-text extraction, eligibility and risk-of-bias review are separate. Linked corrections are not independent studies.</x:v>
      </x:c>
      <x:c r="I77" s="2310" t="str">
        <x:v>Use stable [L-ID] citations in drafts. The companion bibliography and RIS export refresh with this register. Metadata verification, full-text extraction, eligibility and risk-of-bias review are separate. Linked corrections are not independent studies.</x:v>
      </x:c>
      <x:c r="J77" s="2310" t="str">
        <x:v>Use stable [L-ID] citations in drafts. The companion bibliography and RIS export refresh with this register. Metadata verification, full-text extraction, eligibility and risk-of-bias review are separate. Linked corrections are not independent studies.</x:v>
      </x:c>
      <x:c r="K77" s="2292"/>
      <x:c r="L77" s="2292"/>
      <x:c r="M77" s="2292"/>
      <x:c r="N77" s="2292"/>
      <x:c r="O77" s="2292"/>
      <x:c r="P77" s="2311"/>
      <x:c r="Q77" s="2311"/>
      <x:c r="R77" s="2311"/>
      <x:c r="S77" s="2311"/>
      <x:c r="T77" s="2311"/>
      <x:c r="U77" s="2311"/>
      <x:c r="V77" s="2311"/>
      <x:c r="W77" s="2311"/>
      <x:c r="X77" s="2311"/>
    </x:row>
    <x:row r="78" ht="51" customHeight="1">
      <x:c r="A78" s="2309" t="str">
        <x:v>Expansion</x:v>
      </x:c>
      <x:c r="B78" s="2309" t="str">
        <x:v>Expansion</x:v>
      </x:c>
      <x:c r="C78" s="2312"/>
      <x:c r="D78" s="2310" t="str">
        <x:v>Use stable item and study IDs. Record population eligibility and exclusions. Add new source URLs and policy-check dates. Current counts describe selected working records, not a systematic-search flow diagram.</x:v>
      </x:c>
      <x:c r="E78" s="2310" t="str">
        <x:v>Use stable item and study IDs. Record population eligibility and exclusions. Add new source URLs and policy-check dates. Current counts describe selected working records, not a systematic-search flow diagram.</x:v>
      </x:c>
      <x:c r="F78" s="2310" t="str">
        <x:v>Use stable item and study IDs. Record population eligibility and exclusions. Add new source URLs and policy-check dates. Current counts describe selected working records, not a systematic-search flow diagram.</x:v>
      </x:c>
      <x:c r="G78" s="2310" t="str">
        <x:v>Use stable item and study IDs. Record population eligibility and exclusions. Add new source URLs and policy-check dates. Current counts describe selected working records, not a systematic-search flow diagram.</x:v>
      </x:c>
      <x:c r="H78" s="2310" t="str">
        <x:v>Use stable item and study IDs. Record population eligibility and exclusions. Add new source URLs and policy-check dates. Current counts describe selected working records, not a systematic-search flow diagram.</x:v>
      </x:c>
      <x:c r="I78" s="2310" t="str">
        <x:v>Use stable item and study IDs. Record population eligibility and exclusions. Add new source URLs and policy-check dates. Current counts describe selected working records, not a systematic-search flow diagram.</x:v>
      </x:c>
      <x:c r="J78" s="2310" t="str">
        <x:v>Use stable item and study IDs. Record population eligibility and exclusions. Add new source URLs and policy-check dates. Current counts describe selected working records, not a systematic-search flow diagram.</x:v>
      </x:c>
      <x:c r="K78" s="2292"/>
      <x:c r="L78" s="2292"/>
      <x:c r="M78" s="2292"/>
      <x:c r="N78" s="2292"/>
      <x:c r="O78" s="2292"/>
      <x:c r="P78" s="2311"/>
      <x:c r="Q78" s="2311"/>
      <x:c r="R78" s="2311"/>
      <x:c r="S78" s="2311"/>
      <x:c r="T78" s="2311"/>
      <x:c r="U78" s="2311"/>
      <x:c r="V78" s="2311"/>
      <x:c r="W78" s="2311"/>
      <x:c r="X78" s="2311"/>
    </x:row>
    <x:row r="79" ht="51" customHeight="1">
      <x:c r="A79" s="2309" t="str">
        <x:v>Abbreviations</x:v>
      </x:c>
      <x:c r="B79" s="2309" t="str">
        <x:v>Abbreviations</x:v>
      </x:c>
      <x:c r="C79" s="2310"/>
      <x:c r="D79" s="2310" t="str">
        <x:v>CMS: Centers for Medicare &amp; Medicaid Services. MAC: Medicare Administrative Contractor. MA: Medicare Advantage. NCD: national coverage determination. RVU: relative value unit. PA: prior authorization. ST: step therapy.</x:v>
      </x:c>
      <x:c r="E79" s="2310" t="str">
        <x:v>CMS: Centers for Medicare &amp; Medicaid Services. MAC: Medicare Administrative Contractor. MA: Medicare Advantage. NCD: national coverage determination. RVU: relative value unit. PA: prior authorization. ST: step therapy.</x:v>
      </x:c>
      <x:c r="F79" s="2310" t="str">
        <x:v>CMS: Centers for Medicare &amp; Medicaid Services. MAC: Medicare Administrative Contractor. MA: Medicare Advantage. NCD: national coverage determination. RVU: relative value unit. PA: prior authorization. ST: step therapy.</x:v>
      </x:c>
      <x:c r="G79" s="2310" t="str">
        <x:v>CMS: Centers for Medicare &amp; Medicaid Services. MAC: Medicare Administrative Contractor. MA: Medicare Advantage. NCD: national coverage determination. RVU: relative value unit. PA: prior authorization. ST: step therapy.</x:v>
      </x:c>
      <x:c r="H79" s="2310" t="str">
        <x:v>CMS: Centers for Medicare &amp; Medicaid Services. MAC: Medicare Administrative Contractor. MA: Medicare Advantage. NCD: national coverage determination. RVU: relative value unit. PA: prior authorization. ST: step therapy.</x:v>
      </x:c>
      <x:c r="I79" s="2310" t="str">
        <x:v>CMS: Centers for Medicare &amp; Medicaid Services. MAC: Medicare Administrative Contractor. MA: Medicare Advantage. NCD: national coverage determination. RVU: relative value unit. PA: prior authorization. ST: step therapy.</x:v>
      </x:c>
      <x:c r="J79" s="2310" t="str">
        <x:v>CMS: Centers for Medicare &amp; Medicaid Services. MAC: Medicare Administrative Contractor. MA: Medicare Advantage. NCD: national coverage determination. RVU: relative value unit. PA: prior authorization. ST: step therapy.</x:v>
      </x:c>
      <x:c r="K79" s="2292"/>
      <x:c r="L79" s="2292"/>
      <x:c r="M79" s="2292"/>
      <x:c r="N79" s="2292"/>
      <x:c r="O79" s="2292"/>
      <x:c r="P79" s="2311"/>
      <x:c r="Q79" s="2311"/>
      <x:c r="R79" s="2311"/>
      <x:c r="S79" s="2311"/>
      <x:c r="T79" s="2311"/>
      <x:c r="U79" s="2311"/>
      <x:c r="V79" s="2311"/>
      <x:c r="W79" s="2311"/>
      <x:c r="X79" s="2311"/>
    </x:row>
    <x:row r="80" ht="41.25" customHeight="1">
      <x:c r="A80" s="2310"/>
      <x:c r="B80" s="2310"/>
      <x:c r="C80" s="2310"/>
      <x:c r="D80" s="2310"/>
      <x:c r="E80" s="2310"/>
      <x:c r="F80" s="2310"/>
      <x:c r="G80" s="2292"/>
      <x:c r="H80" s="2313"/>
      <x:c r="I80" s="2313"/>
      <x:c r="J80" s="2313"/>
      <x:c r="K80" s="2292"/>
      <x:c r="L80" s="2292"/>
      <x:c r="M80" s="2292"/>
      <x:c r="N80" s="2292"/>
      <x:c r="O80" s="2292"/>
      <x:c r="P80" s="2311"/>
      <x:c r="Q80" s="2311"/>
      <x:c r="R80" s="2311"/>
      <x:c r="S80" s="2311"/>
      <x:c r="T80" s="2311"/>
      <x:c r="U80" s="2311"/>
      <x:c r="V80" s="2311"/>
      <x:c r="W80" s="2311"/>
      <x:c r="X80" s="2311"/>
    </x:row>
    <x:row r="81" ht="41.25" customHeight="1">
      <x:c r="A81" s="2310"/>
      <x:c r="B81" s="2310"/>
      <x:c r="C81" s="2310"/>
      <x:c r="D81" s="2310"/>
      <x:c r="E81" s="2310"/>
      <x:c r="F81" s="2310"/>
      <x:c r="G81" s="2292"/>
      <x:c r="H81" s="2313"/>
      <x:c r="I81" s="2313"/>
      <x:c r="J81" s="2313"/>
      <x:c r="K81" s="2292"/>
      <x:c r="L81" s="2292"/>
      <x:c r="M81" s="2292"/>
      <x:c r="N81" s="2292"/>
      <x:c r="O81" s="2292"/>
      <x:c r="P81" s="2311"/>
      <x:c r="Q81" s="2311"/>
      <x:c r="R81" s="2311"/>
      <x:c r="S81" s="2311"/>
      <x:c r="T81" s="2311"/>
      <x:c r="U81" s="2311"/>
      <x:c r="V81" s="2311"/>
      <x:c r="W81" s="2311"/>
      <x:c r="X81" s="2311"/>
    </x:row>
    <x:row r="82" ht="22.5" customHeight="1">
      <x:c r="A82" s="2291" t="str">
        <x:v>Additional primary policy and label sources</x:v>
      </x:c>
      <x:c r="B82" s="2291" t="str">
        <x:v>Additional primary policy and label sources</x:v>
      </x:c>
      <x:c r="C82" s="2291" t="str">
        <x:v>Additional primary policy and label sources</x:v>
      </x:c>
      <x:c r="D82" s="2291" t="str">
        <x:v>Additional primary policy and label sources</x:v>
      </x:c>
      <x:c r="E82" s="2291" t="str">
        <x:v>Additional primary policy and label sources</x:v>
      </x:c>
      <x:c r="F82" s="2291" t="str">
        <x:v>Additional primary policy and label sources</x:v>
      </x:c>
      <x:c r="G82" s="2292"/>
      <x:c r="H82" s="2313"/>
      <x:c r="I82" s="2313"/>
      <x:c r="J82" s="2313"/>
      <x:c r="K82" s="2292"/>
      <x:c r="L82" s="2292"/>
      <x:c r="M82" s="2292"/>
      <x:c r="N82" s="2292"/>
      <x:c r="O82" s="2292"/>
      <x:c r="P82" s="2311"/>
      <x:c r="Q82" s="2311"/>
      <x:c r="R82" s="2311"/>
      <x:c r="S82" s="2311"/>
      <x:c r="T82" s="2311"/>
      <x:c r="U82" s="2311"/>
      <x:c r="V82" s="2311"/>
      <x:c r="W82" s="2311"/>
      <x:c r="X82" s="2311"/>
    </x:row>
    <x:row r="83" ht="41.25" customHeight="1">
      <x:c r="A83" s="2309" t="str">
        <x:v>Part D sexual/erectile dysfunction exclusion; sildenafil for pulmonary hypertension and supplemental coverage</x:v>
      </x:c>
      <x:c r="B83" s="2309" t="str">
        <x:v>Part D sexual/erectile dysfunction exclusion; sildenafil for pulmonary hypertension and supplemental coverage</x:v>
      </x:c>
      <x:c r="C83" s="2309" t="str">
        <x:v>Part D sexual/erectile dysfunction exclusion; sildenafil for pulmonary hypertension and supplemental coverage</x:v>
      </x:c>
      <x:c r="D83" s="2309" t="str">
        <x:v>Part D sexual/erectile dysfunction exclusion; sildenafil for pulmonary hypertension and supplemental coverage</x:v>
      </x:c>
      <x:c r="E83" s="2309" t="str">
        <x:v>Part D sexual/erectile dysfunction exclusion; sildenafil for pulmonary hypertension and supplemental coverage</x:v>
      </x:c>
      <x:c r="F83" s="2309" t="str">
        <x:v>Part D sexual/erectile dysfunction exclusion; sildenafil for pulmonary hypertension and supplemental coverage</x:v>
      </x:c>
      <x:c r="G83" s="2292"/>
      <x:c r="H83" s="2313" t="str">
        <x:v>https://www.cms.gov/Medicare/Prescription-Drug-Coverage/PrescriptionDrugCovContra/Downloads/QAEDDrugs_070606.pdf</x:v>
      </x:c>
      <x:c r="I83" s="2313" t="str">
        <x:v>https://www.cms.gov/Medicare/Prescription-Drug-Coverage/PrescriptionDrugCovContra/Downloads/QAEDDrugs_070606.pdf</x:v>
      </x:c>
      <x:c r="J83" s="2313" t="str">
        <x:v>https://www.cms.gov/Medicare/Prescription-Drug-Coverage/PrescriptionDrugCovContra/Downloads/QAEDDrugs_070606.pdf</x:v>
      </x:c>
      <x:c r="K83" s="2292"/>
      <x:c r="L83" s="2292"/>
      <x:c r="M83" s="2292"/>
      <x:c r="N83" s="2292"/>
      <x:c r="O83" s="2292"/>
      <x:c r="P83" s="2311"/>
      <x:c r="Q83" s="2311"/>
      <x:c r="R83" s="2311"/>
      <x:c r="S83" s="2311"/>
      <x:c r="T83" s="2311"/>
      <x:c r="U83" s="2311"/>
      <x:c r="V83" s="2311"/>
      <x:c r="W83" s="2311"/>
      <x:c r="X83" s="2311"/>
    </x:row>
    <x:row r="84" ht="41.25" customHeight="1">
      <x:c r="A84" s="2309" t="str">
        <x:v>Addyi FDA label, December 2025: women less than 65; not limited to premenopausal women</x:v>
      </x:c>
      <x:c r="B84" s="2309" t="str">
        <x:v>Addyi FDA label, December 2025: women less than 65; not limited to premenopausal women</x:v>
      </x:c>
      <x:c r="C84" s="2309" t="str">
        <x:v>Addyi FDA label, December 2025: women less than 65; not limited to premenopausal women</x:v>
      </x:c>
      <x:c r="D84" s="2309" t="str">
        <x:v>Addyi FDA label, December 2025: women less than 65; not limited to premenopausal women</x:v>
      </x:c>
      <x:c r="E84" s="2309" t="str">
        <x:v>Addyi FDA label, December 2025: women less than 65; not limited to premenopausal women</x:v>
      </x:c>
      <x:c r="F84" s="2309" t="str">
        <x:v>Addyi FDA label, December 2025: women less than 65; not limited to premenopausal women</x:v>
      </x:c>
      <x:c r="G84" s="2292"/>
      <x:c r="H84" s="2313" t="str">
        <x:v>https://www.accessdata.fda.gov/drugsatfda_docs/label/2025/022526s013lbl.pdf</x:v>
      </x:c>
      <x:c r="I84" s="2313" t="str">
        <x:v>https://www.accessdata.fda.gov/drugsatfda_docs/label/2025/022526s013lbl.pdf</x:v>
      </x:c>
      <x:c r="J84" s="2313" t="str">
        <x:v>https://www.accessdata.fda.gov/drugsatfda_docs/label/2025/022526s013lbl.pdf</x:v>
      </x:c>
      <x:c r="K84" s="2292"/>
      <x:c r="L84" s="2292"/>
      <x:c r="M84" s="2292"/>
      <x:c r="N84" s="2292"/>
      <x:c r="O84" s="2292"/>
      <x:c r="P84" s="2311"/>
      <x:c r="Q84" s="2311"/>
      <x:c r="R84" s="2311"/>
      <x:c r="S84" s="2311"/>
      <x:c r="T84" s="2311"/>
      <x:c r="U84" s="2311"/>
      <x:c r="V84" s="2311"/>
      <x:c r="W84" s="2311"/>
      <x:c r="X84" s="2311"/>
    </x:row>
    <x:row r="85" ht="41.25" customHeight="1">
      <x:c r="A85" s="2309" t="str">
        <x:v>Vyleesi current label: premenopausal HSDD</x:v>
      </x:c>
      <x:c r="B85" s="2309" t="str">
        <x:v>Vyleesi current label: premenopausal HSDD</x:v>
      </x:c>
      <x:c r="C85" s="2309" t="str">
        <x:v>Vyleesi current label: premenopausal HSDD</x:v>
      </x:c>
      <x:c r="D85" s="2309" t="str">
        <x:v>Vyleesi current label: premenopausal HSDD</x:v>
      </x:c>
      <x:c r="E85" s="2309" t="str">
        <x:v>Vyleesi current label: premenopausal HSDD</x:v>
      </x:c>
      <x:c r="F85" s="2309" t="str">
        <x:v>Vyleesi current label: premenopausal HSDD</x:v>
      </x:c>
      <x:c r="G85" s="2292"/>
      <x:c r="H85" s="2313" t="str">
        <x:v>https://dailymed.nlm.nih.gov/dailymed/drugInfo.cfm?setid=f1d0c1b5-2f39-4bad-a6a4-0066e3ad5dcf</x:v>
      </x:c>
      <x:c r="I85" s="2313" t="str">
        <x:v>https://dailymed.nlm.nih.gov/dailymed/drugInfo.cfm?setid=f1d0c1b5-2f39-4bad-a6a4-0066e3ad5dcf</x:v>
      </x:c>
      <x:c r="J85" s="2313" t="str">
        <x:v>https://dailymed.nlm.nih.gov/dailymed/drugInfo.cfm?setid=f1d0c1b5-2f39-4bad-a6a4-0066e3ad5dcf</x:v>
      </x:c>
      <x:c r="K85" s="2292"/>
      <x:c r="L85" s="2292"/>
      <x:c r="M85" s="2292"/>
      <x:c r="N85" s="2292"/>
      <x:c r="O85" s="2292"/>
      <x:c r="P85" s="2311"/>
      <x:c r="Q85" s="2311"/>
      <x:c r="R85" s="2311"/>
      <x:c r="S85" s="2311"/>
      <x:c r="T85" s="2311"/>
      <x:c r="U85" s="2311"/>
      <x:c r="V85" s="2311"/>
      <x:c r="W85" s="2311"/>
      <x:c r="X85" s="2311"/>
    </x:row>
    <x:row r="86" ht="41.25" customHeight="1">
      <x:c r="A86" s="2309" t="str">
        <x:v>Veozah FDA warning about rare serious liver injury</x:v>
      </x:c>
      <x:c r="B86" s="2309" t="str">
        <x:v>Veozah FDA warning about rare serious liver injury</x:v>
      </x:c>
      <x:c r="C86" s="2309" t="str">
        <x:v>Veozah FDA warning about rare serious liver injury</x:v>
      </x:c>
      <x:c r="D86" s="2309" t="str">
        <x:v>Veozah FDA warning about rare serious liver injury</x:v>
      </x:c>
      <x:c r="E86" s="2309" t="str">
        <x:v>Veozah FDA warning about rare serious liver injury</x:v>
      </x:c>
      <x:c r="F86" s="2309" t="str">
        <x:v>Veozah FDA warning about rare serious liver injury</x:v>
      </x:c>
      <x:c r="G86" s="2292"/>
      <x:c r="H86" s="2313" t="str">
        <x:v>https://www.fda.gov/drugs/drug-safety-communications/fda-adds-warning-about-rare-occurrence-serious-liver-injury-use-veozah-fezolinetant-hot-flashes-due</x:v>
      </x:c>
      <x:c r="I86" s="2313" t="str">
        <x:v>https://www.fda.gov/drugs/drug-safety-communications/fda-adds-warning-about-rare-occurrence-serious-liver-injury-use-veozah-fezolinetant-hot-flashes-due</x:v>
      </x:c>
      <x:c r="J86" s="2313" t="str">
        <x:v>https://www.fda.gov/drugs/drug-safety-communications/fda-adds-warning-about-rare-occurrence-serious-liver-injury-use-veozah-fezolinetant-hot-flashes-due</x:v>
      </x:c>
      <x:c r="K86" s="2292"/>
      <x:c r="L86" s="2292"/>
      <x:c r="M86" s="2292"/>
      <x:c r="N86" s="2292"/>
      <x:c r="O86" s="2292"/>
      <x:c r="P86" s="2311"/>
      <x:c r="Q86" s="2311"/>
      <x:c r="R86" s="2311"/>
      <x:c r="S86" s="2311"/>
      <x:c r="T86" s="2311"/>
      <x:c r="U86" s="2311"/>
      <x:c r="V86" s="2311"/>
      <x:c r="W86" s="2311"/>
      <x:c r="X86" s="2311"/>
    </x:row>
    <x:row r="87" ht="41.25" customHeight="1">
      <x:c r="A87" s="2309" t="str">
        <x:v>2026 FDA menopausal hormone product label revisions; changes are not coverage mandates</x:v>
      </x:c>
      <x:c r="B87" s="2309" t="str">
        <x:v>2026 FDA menopausal hormone product label revisions; changes are not coverage mandates</x:v>
      </x:c>
      <x:c r="C87" s="2309" t="str">
        <x:v>2026 FDA menopausal hormone product label revisions; changes are not coverage mandates</x:v>
      </x:c>
      <x:c r="D87" s="2309" t="str">
        <x:v>2026 FDA menopausal hormone product label revisions; changes are not coverage mandates</x:v>
      </x:c>
      <x:c r="E87" s="2309" t="str">
        <x:v>2026 FDA menopausal hormone product label revisions; changes are not coverage mandates</x:v>
      </x:c>
      <x:c r="F87" s="2309" t="str">
        <x:v>2026 FDA menopausal hormone product label revisions; changes are not coverage mandates</x:v>
      </x:c>
      <x:c r="G87" s="2292"/>
      <x:c r="H87" s="2313" t="str">
        <x:v>https://www.fda.gov/drugs/drug-safety-and-availability/menopausal-hormone-therapies-updated-prescribing-information</x:v>
      </x:c>
      <x:c r="I87" s="2313" t="str">
        <x:v>https://www.fda.gov/drugs/drug-safety-and-availability/menopausal-hormone-therapies-updated-prescribing-information</x:v>
      </x:c>
      <x:c r="J87" s="2313" t="str">
        <x:v>https://www.fda.gov/drugs/drug-safety-and-availability/menopausal-hormone-therapies-updated-prescribing-information</x:v>
      </x:c>
      <x:c r="K87" s="2292"/>
      <x:c r="L87" s="2292"/>
      <x:c r="M87" s="2292"/>
      <x:c r="N87" s="2292"/>
      <x:c r="O87" s="2292"/>
      <x:c r="P87" s="2311"/>
      <x:c r="Q87" s="2311"/>
      <x:c r="R87" s="2311"/>
      <x:c r="S87" s="2311"/>
      <x:c r="T87" s="2311"/>
      <x:c r="U87" s="2311"/>
      <x:c r="V87" s="2311"/>
      <x:c r="W87" s="2311"/>
      <x:c r="X87" s="2311"/>
    </x:row>
    <x:row r="88" ht="41.25" customHeight="1">
      <x:c r="A88" s="2309" t="str">
        <x:v>Testosterone FDA indication and evolving label information</x:v>
      </x:c>
      <x:c r="B88" s="2309" t="str">
        <x:v>Testosterone FDA indication and evolving label information</x:v>
      </x:c>
      <x:c r="C88" s="2309" t="str">
        <x:v>Testosterone FDA indication and evolving label information</x:v>
      </x:c>
      <x:c r="D88" s="2309" t="str">
        <x:v>Testosterone FDA indication and evolving label information</x:v>
      </x:c>
      <x:c r="E88" s="2309" t="str">
        <x:v>Testosterone FDA indication and evolving label information</x:v>
      </x:c>
      <x:c r="F88" s="2309" t="str">
        <x:v>Testosterone FDA indication and evolving label information</x:v>
      </x:c>
      <x:c r="G88" s="2292"/>
      <x:c r="H88" s="2313" t="str">
        <x:v>https://www.fda.gov/drugs/postmarket-drug-safety-information-patients-and-providers/testosterone-information</x:v>
      </x:c>
      <x:c r="I88" s="2313" t="str">
        <x:v>https://www.fda.gov/drugs/postmarket-drug-safety-information-patients-and-providers/testosterone-information</x:v>
      </x:c>
      <x:c r="J88" s="2313" t="str">
        <x:v>https://www.fda.gov/drugs/postmarket-drug-safety-information-patients-and-providers/testosterone-information</x:v>
      </x:c>
      <x:c r="K88" s="2292"/>
      <x:c r="L88" s="2292"/>
      <x:c r="M88" s="2292"/>
      <x:c r="N88" s="2292"/>
      <x:c r="O88" s="2292"/>
      <x:c r="P88" s="2311"/>
      <x:c r="Q88" s="2311"/>
      <x:c r="R88" s="2311"/>
      <x:c r="S88" s="2311"/>
      <x:c r="T88" s="2311"/>
      <x:c r="U88" s="2311"/>
      <x:c r="V88" s="2311"/>
      <x:c r="W88" s="2311"/>
      <x:c r="X88" s="2311"/>
    </x:row>
    <x:row r="89" ht="41.25" customHeight="1">
      <x:c r="A89" s="2309" t="str">
        <x:v>PSERS 2026 employer supplemental bonus benefit lists Viagra and Addyi; outside national public plan-file scope</x:v>
      </x:c>
      <x:c r="B89" s="2309" t="str">
        <x:v>PSERS 2026 employer supplemental bonus benefit lists Viagra and Addyi; outside national public plan-file scope</x:v>
      </x:c>
      <x:c r="C89" s="2309" t="str">
        <x:v>PSERS 2026 employer supplemental bonus benefit lists Viagra and Addyi; outside national public plan-file scope</x:v>
      </x:c>
      <x:c r="D89" s="2309" t="str">
        <x:v>PSERS 2026 employer supplemental bonus benefit lists Viagra and Addyi; outside national public plan-file scope</x:v>
      </x:c>
      <x:c r="E89" s="2309" t="str">
        <x:v>PSERS 2026 employer supplemental bonus benefit lists Viagra and Addyi; outside national public plan-file scope</x:v>
      </x:c>
      <x:c r="F89" s="2309" t="str">
        <x:v>PSERS 2026 employer supplemental bonus benefit lists Viagra and Addyi; outside national public plan-file scope</x:v>
      </x:c>
      <x:c r="G89" s="2292"/>
      <x:c r="H89" s="2313" t="str">
        <x:v>https://www.discoverhopbenefits.com/wp-content/uploads/2025/09/PSERS-Doc-114-CompForm_2026_Medicare-Plus_final_accessible.pdf</x:v>
      </x:c>
      <x:c r="I89" s="2313" t="str">
        <x:v>https://www.discoverhopbenefits.com/wp-content/uploads/2025/09/PSERS-Doc-114-CompForm_2026_Medicare-Plus_final_accessible.pdf</x:v>
      </x:c>
      <x:c r="J89" s="2313" t="str">
        <x:v>https://www.discoverhopbenefits.com/wp-content/uploads/2025/09/PSERS-Doc-114-CompForm_2026_Medicare-Plus_final_accessible.pdf</x:v>
      </x:c>
      <x:c r="K89" s="2292"/>
      <x:c r="L89" s="2292"/>
      <x:c r="M89" s="2292"/>
      <x:c r="N89" s="2292"/>
      <x:c r="O89" s="2292"/>
      <x:c r="P89" s="2311"/>
      <x:c r="Q89" s="2311"/>
      <x:c r="R89" s="2311"/>
      <x:c r="S89" s="2311"/>
      <x:c r="T89" s="2311"/>
      <x:c r="U89" s="2311"/>
      <x:c r="V89" s="2311"/>
      <x:c r="W89" s="2311"/>
      <x:c r="X89" s="2311"/>
    </x:row>
    <x:row r="90" ht="41.25" customHeight="1">
      <x:c r="A90" s="2309" t="str">
        <x:v>Medicare formulary exceptions</x:v>
      </x:c>
      <x:c r="B90" s="2309" t="str">
        <x:v>Medicare formulary exceptions</x:v>
      </x:c>
      <x:c r="C90" s="2309" t="str">
        <x:v>Medicare formulary exceptions</x:v>
      </x:c>
      <x:c r="D90" s="2309" t="str">
        <x:v>Medicare formulary exceptions</x:v>
      </x:c>
      <x:c r="E90" s="2309" t="str">
        <x:v>Medicare formulary exceptions</x:v>
      </x:c>
      <x:c r="F90" s="2309" t="str">
        <x:v>Medicare formulary exceptions</x:v>
      </x:c>
      <x:c r="G90" s="2292"/>
      <x:c r="H90" s="2313" t="str">
        <x:v>https://www.cms.gov/medicare/appeals-grievances/prescription-drug/exceptions</x:v>
      </x:c>
      <x:c r="I90" s="2313" t="str">
        <x:v>https://www.cms.gov/medicare/appeals-grievances/prescription-drug/exceptions</x:v>
      </x:c>
      <x:c r="J90" s="2313" t="str">
        <x:v>https://www.cms.gov/medicare/appeals-grievances/prescription-drug/exceptions</x:v>
      </x:c>
      <x:c r="K90" s="2292"/>
      <x:c r="L90" s="2292"/>
      <x:c r="M90" s="2292"/>
      <x:c r="N90" s="2292"/>
      <x:c r="O90" s="2292"/>
      <x:c r="P90" s="2311"/>
      <x:c r="Q90" s="2311"/>
      <x:c r="R90" s="2311"/>
      <x:c r="S90" s="2311"/>
      <x:c r="T90" s="2311"/>
      <x:c r="U90" s="2311"/>
      <x:c r="V90" s="2311"/>
      <x:c r="W90" s="2311"/>
      <x:c r="X90" s="2311"/>
    </x:row>
    <x:row r="91" ht="41.25" customHeight="1">
      <x:c r="A91" s="2309" t="str">
        <x:v>Benchmark context: U.S. Personal Health Care Spending By Age and Sex: 2020 Highlights (2020)</x:v>
      </x:c>
      <x:c r="B91" s="2309" t="str">
        <x:v>Benchmark context: U.S. Personal Health Care Spending By Age and Sex: 2020 Highlights (2020)</x:v>
      </x:c>
      <x:c r="C91" s="2309" t="str">
        <x:v>Benchmark context: U.S. Personal Health Care Spending By Age and Sex: 2020 Highlights (2020)</x:v>
      </x:c>
      <x:c r="D91" s="2309" t="str">
        <x:v>Benchmark context: U.S. Personal Health Care Spending By Age and Sex: 2020 Highlights (2020)</x:v>
      </x:c>
      <x:c r="E91" s="2309" t="str">
        <x:v>Benchmark context: U.S. Personal Health Care Spending By Age and Sex: 2020 Highlights (2020)</x:v>
      </x:c>
      <x:c r="F91" s="2309" t="str">
        <x:v>Benchmark context: U.S. Personal Health Care Spending By Age and Sex: 2020 Highlights (2020)</x:v>
      </x:c>
      <x:c r="G91" s="2292"/>
      <x:c r="H91" s="2313" t="str">
        <x:v>https://www.cms.gov/Research-Statistics-Data-and-Systems/Statistics-Trends-and-Reports/NationalHealthExpendData/Downloads/AgeandGenderHighlights.pdf</x:v>
      </x:c>
      <x:c r="I91" s="2313" t="str">
        <x:v>https://www.cms.gov/Research-Statistics-Data-and-Systems/Statistics-Trends-and-Reports/NationalHealthExpendData/Downloads/AgeandGenderHighlights.pdf</x:v>
      </x:c>
      <x:c r="J91" s="2313" t="str">
        <x:v>https://www.cms.gov/Research-Statistics-Data-and-Systems/Statistics-Trends-and-Reports/NationalHealthExpendData/Downloads/AgeandGenderHighlights.pdf</x:v>
      </x:c>
      <x:c r="K91" s="2292"/>
      <x:c r="L91" s="2292"/>
      <x:c r="M91" s="2292"/>
      <x:c r="N91" s="2292"/>
      <x:c r="O91" s="2292"/>
      <x:c r="P91" s="2311"/>
      <x:c r="Q91" s="2311"/>
      <x:c r="R91" s="2311"/>
      <x:c r="S91" s="2311"/>
      <x:c r="T91" s="2311"/>
      <x:c r="U91" s="2311"/>
      <x:c r="V91" s="2311"/>
      <x:c r="W91" s="2311"/>
      <x:c r="X91" s="2311"/>
    </x:row>
    <x:row r="92" ht="41.25" customHeight="1">
      <x:c r="A92" s="2309" t="str">
        <x:v>Benchmark context: NHE Fact Sheet (2024 NHE; 2020 age-specific PHC)</x:v>
      </x:c>
      <x:c r="B92" s="2309" t="str">
        <x:v>Benchmark context: NHE Fact Sheet (2024 NHE; 2020 age-specific PHC)</x:v>
      </x:c>
      <x:c r="C92" s="2309" t="str">
        <x:v>Benchmark context: NHE Fact Sheet (2024 NHE; 2020 age-specific PHC)</x:v>
      </x:c>
      <x:c r="D92" s="2309" t="str">
        <x:v>Benchmark context: NHE Fact Sheet (2024 NHE; 2020 age-specific PHC)</x:v>
      </x:c>
      <x:c r="E92" s="2309" t="str">
        <x:v>Benchmark context: NHE Fact Sheet (2024 NHE; 2020 age-specific PHC)</x:v>
      </x:c>
      <x:c r="F92" s="2309" t="str">
        <x:v>Benchmark context: NHE Fact Sheet (2024 NHE; 2020 age-specific PHC)</x:v>
      </x:c>
      <x:c r="G92" s="2292"/>
      <x:c r="H92" s="2313" t="str">
        <x:v>https://www.cms.gov/data-research/statistics-trends-and-reports/national-health-expenditure-data/nhe-fact-sheet</x:v>
      </x:c>
      <x:c r="I92" s="2313" t="str">
        <x:v>https://www.cms.gov/data-research/statistics-trends-and-reports/national-health-expenditure-data/nhe-fact-sheet</x:v>
      </x:c>
      <x:c r="J92" s="2313" t="str">
        <x:v>https://www.cms.gov/data-research/statistics-trends-and-reports/national-health-expenditure-data/nhe-fact-sheet</x:v>
      </x:c>
      <x:c r="K92" s="2292"/>
      <x:c r="L92" s="2292"/>
      <x:c r="M92" s="2292"/>
      <x:c r="N92" s="2292"/>
      <x:c r="O92" s="2292"/>
      <x:c r="P92" s="2311"/>
      <x:c r="Q92" s="2311"/>
      <x:c r="R92" s="2311"/>
      <x:c r="S92" s="2311"/>
      <x:c r="T92" s="2311"/>
      <x:c r="U92" s="2311"/>
      <x:c r="V92" s="2311"/>
      <x:c r="W92" s="2311"/>
      <x:c r="X92" s="2311"/>
    </x:row>
    <x:row r="93" ht="41.25" customHeight="1">
      <x:c r="A93" s="2309" t="str">
        <x:v>Benchmark context: Get started with Medicare (Current eligibility overview checked 2026-09-16)</x:v>
      </x:c>
      <x:c r="B93" s="2309" t="str">
        <x:v>Benchmark context: Get started with Medicare (Current eligibility overview checked 2026-09-16)</x:v>
      </x:c>
      <x:c r="C93" s="2309" t="str">
        <x:v>Benchmark context: Get started with Medicare (Current eligibility overview checked 2026-09-16)</x:v>
      </x:c>
      <x:c r="D93" s="2309" t="str">
        <x:v>Benchmark context: Get started with Medicare (Current eligibility overview checked 2026-09-16)</x:v>
      </x:c>
      <x:c r="E93" s="2309" t="str">
        <x:v>Benchmark context: Get started with Medicare (Current eligibility overview checked 2026-09-16)</x:v>
      </x:c>
      <x:c r="F93" s="2309" t="str">
        <x:v>Benchmark context: Get started with Medicare (Current eligibility overview checked 2026-09-16)</x:v>
      </x:c>
      <x:c r="G93" s="2292"/>
      <x:c r="H93" s="2313" t="str">
        <x:v>https://www.medicare.gov/basics/get-started-with-medicare</x:v>
      </x:c>
      <x:c r="I93" s="2313" t="str">
        <x:v>https://www.medicare.gov/basics/get-started-with-medicare</x:v>
      </x:c>
      <x:c r="J93" s="2313" t="str">
        <x:v>https://www.medicare.gov/basics/get-started-with-medicare</x:v>
      </x:c>
      <x:c r="K93" s="2292"/>
      <x:c r="L93" s="2292"/>
      <x:c r="M93" s="2292"/>
      <x:c r="N93" s="2292"/>
      <x:c r="O93" s="2292"/>
      <x:c r="P93" s="2311"/>
      <x:c r="Q93" s="2311"/>
      <x:c r="R93" s="2311"/>
      <x:c r="S93" s="2311"/>
      <x:c r="T93" s="2311"/>
      <x:c r="U93" s="2311"/>
      <x:c r="V93" s="2311"/>
      <x:c r="W93" s="2311"/>
      <x:c r="X93" s="2311"/>
    </x:row>
    <x:row r="94" ht="41.25" customHeight="1">
      <x:c r="A94" s="2309" t="str">
        <x:v>Benchmark context: Characteristics of Office-based Physician Visits by Age, 2019 (2019)</x:v>
      </x:c>
      <x:c r="B94" s="2309" t="str">
        <x:v>Benchmark context: Characteristics of Office-based Physician Visits by Age, 2019 (2019)</x:v>
      </x:c>
      <x:c r="C94" s="2309" t="str">
        <x:v>Benchmark context: Characteristics of Office-based Physician Visits by Age, 2019 (2019)</x:v>
      </x:c>
      <x:c r="D94" s="2309" t="str">
        <x:v>Benchmark context: Characteristics of Office-based Physician Visits by Age, 2019 (2019)</x:v>
      </x:c>
      <x:c r="E94" s="2309" t="str">
        <x:v>Benchmark context: Characteristics of Office-based Physician Visits by Age, 2019 (2019)</x:v>
      </x:c>
      <x:c r="F94" s="2309" t="str">
        <x:v>Benchmark context: Characteristics of Office-based Physician Visits by Age, 2019 (2019)</x:v>
      </x:c>
      <x:c r="G94" s="2292"/>
      <x:c r="H94" s="2313" t="str">
        <x:v>https://www.cdc.gov/nchs/data/nhsr/nhsr184.pdf</x:v>
      </x:c>
      <x:c r="I94" s="2313" t="str">
        <x:v>https://www.cdc.gov/nchs/data/nhsr/nhsr184.pdf</x:v>
      </x:c>
      <x:c r="J94" s="2313" t="str">
        <x:v>https://www.cdc.gov/nchs/data/nhsr/nhsr184.pdf</x:v>
      </x:c>
      <x:c r="K94" s="2292"/>
      <x:c r="L94" s="2292"/>
      <x:c r="M94" s="2292"/>
      <x:c r="N94" s="2292"/>
      <x:c r="O94" s="2292"/>
      <x:c r="P94" s="2311"/>
      <x:c r="Q94" s="2311"/>
      <x:c r="R94" s="2311"/>
      <x:c r="S94" s="2311"/>
      <x:c r="T94" s="2311"/>
      <x:c r="U94" s="2311"/>
      <x:c r="V94" s="2311"/>
      <x:c r="W94" s="2311"/>
      <x:c r="X94" s="2311"/>
    </x:row>
    <x:row r="95">
      <x:c r="A95" s="2292"/>
      <x:c r="B95" s="2292"/>
      <x:c r="C95" s="2292"/>
      <x:c r="D95" s="2292"/>
      <x:c r="E95" s="2292"/>
      <x:c r="F95" s="2292"/>
      <x:c r="G95" s="2292"/>
      <x:c r="H95" s="2292"/>
      <x:c r="I95" s="2292"/>
      <x:c r="J95" s="2292"/>
      <x:c r="K95" s="2292"/>
      <x:c r="L95" s="2292"/>
      <x:c r="M95" s="2292"/>
      <x:c r="N95" s="2292"/>
      <x:c r="O95" s="2292"/>
      <x:c r="P95" s="2311"/>
      <x:c r="Q95" s="2311"/>
      <x:c r="R95" s="2311"/>
      <x:c r="S95" s="2311"/>
      <x:c r="T95" s="2311"/>
      <x:c r="U95" s="2311"/>
      <x:c r="V95" s="2311"/>
      <x:c r="W95" s="2311"/>
      <x:c r="X95" s="2311"/>
    </x:row>
    <x:row r="96">
      <x:c r="A96" s="2292"/>
      <x:c r="B96" s="2292"/>
      <x:c r="C96" s="2292"/>
      <x:c r="D96" s="2292"/>
      <x:c r="E96" s="2292"/>
      <x:c r="F96" s="2292"/>
      <x:c r="G96" s="2292"/>
      <x:c r="H96" s="2292"/>
      <x:c r="I96" s="2292"/>
      <x:c r="J96" s="2292"/>
      <x:c r="K96" s="2292"/>
      <x:c r="L96" s="2292"/>
      <x:c r="M96" s="2292"/>
      <x:c r="N96" s="2292"/>
      <x:c r="O96" s="2292"/>
      <x:c r="P96" s="2311"/>
      <x:c r="Q96" s="2311"/>
      <x:c r="R96" s="2311"/>
      <x:c r="S96" s="2311"/>
      <x:c r="T96" s="2311"/>
      <x:c r="U96" s="2311"/>
      <x:c r="V96" s="2311"/>
      <x:c r="W96" s="2311"/>
      <x:c r="X96" s="2311"/>
    </x:row>
    <x:row r="97">
      <x:c r="A97" s="2292"/>
      <x:c r="B97" s="2292"/>
      <x:c r="C97" s="2292"/>
      <x:c r="D97" s="2292"/>
      <x:c r="E97" s="2292"/>
      <x:c r="F97" s="2292"/>
      <x:c r="G97" s="2292"/>
      <x:c r="H97" s="2292"/>
      <x:c r="I97" s="2292"/>
      <x:c r="J97" s="2292"/>
      <x:c r="K97" s="2292"/>
      <x:c r="L97" s="2292"/>
      <x:c r="M97" s="2292"/>
      <x:c r="N97" s="2292"/>
      <x:c r="O97" s="2292"/>
      <x:c r="P97" s="2311"/>
      <x:c r="Q97" s="2311"/>
      <x:c r="R97" s="2311"/>
      <x:c r="S97" s="2311"/>
      <x:c r="T97" s="2311"/>
      <x:c r="U97" s="2311"/>
      <x:c r="V97" s="2311"/>
      <x:c r="W97" s="2311"/>
      <x:c r="X97" s="2311"/>
    </x:row>
    <x:row r="98">
      <x:c r="A98" s="2292"/>
      <x:c r="B98" s="2292"/>
      <x:c r="C98" s="2292"/>
      <x:c r="D98" s="2292"/>
      <x:c r="E98" s="2292"/>
      <x:c r="F98" s="2292"/>
      <x:c r="G98" s="2292"/>
      <x:c r="H98" s="2292"/>
      <x:c r="I98" s="2292"/>
      <x:c r="J98" s="2292"/>
      <x:c r="K98" s="2292"/>
      <x:c r="L98" s="2292"/>
      <x:c r="M98" s="2292"/>
      <x:c r="N98" s="2292"/>
      <x:c r="O98" s="2292"/>
      <x:c r="P98" s="2311"/>
      <x:c r="Q98" s="2311"/>
      <x:c r="R98" s="2311"/>
      <x:c r="S98" s="2311"/>
      <x:c r="T98" s="2311"/>
      <x:c r="U98" s="2311"/>
      <x:c r="V98" s="2311"/>
      <x:c r="W98" s="2311"/>
      <x:c r="X98" s="2311"/>
    </x:row>
    <x:row r="99">
      <x:c r="A99" s="2292"/>
      <x:c r="B99" s="2292"/>
      <x:c r="C99" s="2292"/>
      <x:c r="D99" s="2292"/>
      <x:c r="E99" s="2292"/>
      <x:c r="F99" s="2292"/>
      <x:c r="G99" s="2292"/>
      <x:c r="H99" s="2292"/>
      <x:c r="I99" s="2292"/>
      <x:c r="J99" s="2292"/>
      <x:c r="K99" s="2292"/>
      <x:c r="L99" s="2292"/>
      <x:c r="M99" s="2292"/>
      <x:c r="N99" s="2292"/>
      <x:c r="O99" s="2292"/>
      <x:c r="P99" s="2311"/>
      <x:c r="Q99" s="2311"/>
      <x:c r="R99" s="2311"/>
      <x:c r="S99" s="2311"/>
      <x:c r="T99" s="2311"/>
      <x:c r="U99" s="2311"/>
      <x:c r="V99" s="2311"/>
      <x:c r="W99" s="2311"/>
      <x:c r="X99" s="2311"/>
    </x:row>
    <x:row r="100">
      <x:c r="A100" s="2292"/>
      <x:c r="B100" s="2292"/>
      <x:c r="C100" s="2292"/>
      <x:c r="D100" s="2292"/>
      <x:c r="E100" s="2292"/>
      <x:c r="F100" s="2292"/>
      <x:c r="G100" s="2292"/>
      <x:c r="H100" s="2292"/>
      <x:c r="I100" s="2292"/>
      <x:c r="J100" s="2292"/>
      <x:c r="K100" s="2292"/>
      <x:c r="L100" s="2292"/>
      <x:c r="M100" s="2292"/>
      <x:c r="N100" s="2292"/>
      <x:c r="O100" s="2292"/>
      <x:c r="P100" s="2311"/>
      <x:c r="Q100" s="2311"/>
      <x:c r="R100" s="2311"/>
      <x:c r="S100" s="2311"/>
      <x:c r="T100" s="2311"/>
      <x:c r="U100" s="2311"/>
      <x:c r="V100" s="2311"/>
      <x:c r="W100" s="2311"/>
      <x:c r="X100" s="2311"/>
    </x:row>
    <x:row r="101">
      <x:c r="A101" s="2292"/>
      <x:c r="B101" s="2292"/>
      <x:c r="C101" s="2292"/>
      <x:c r="D101" s="2292"/>
      <x:c r="E101" s="2292"/>
      <x:c r="F101" s="2292"/>
      <x:c r="G101" s="2292"/>
      <x:c r="H101" s="2292"/>
      <x:c r="I101" s="2292"/>
      <x:c r="J101" s="2292"/>
      <x:c r="K101" s="2292"/>
      <x:c r="L101" s="2292"/>
      <x:c r="M101" s="2292"/>
      <x:c r="N101" s="2292"/>
      <x:c r="O101" s="2292"/>
      <x:c r="P101" s="2311"/>
      <x:c r="Q101" s="2311"/>
      <x:c r="R101" s="2311"/>
      <x:c r="S101" s="2311"/>
      <x:c r="T101" s="2311"/>
      <x:c r="U101" s="2311"/>
      <x:c r="V101" s="2311"/>
      <x:c r="W101" s="2311"/>
      <x:c r="X101" s="2311"/>
    </x:row>
    <x:row r="102">
      <x:c r="A102" s="2292"/>
      <x:c r="B102" s="2292"/>
      <x:c r="C102" s="2292"/>
      <x:c r="D102" s="2292"/>
      <x:c r="E102" s="2292"/>
      <x:c r="F102" s="2292"/>
      <x:c r="G102" s="2292"/>
      <x:c r="H102" s="2292"/>
      <x:c r="I102" s="2292"/>
      <x:c r="J102" s="2292"/>
      <x:c r="K102" s="2292"/>
      <x:c r="L102" s="2292"/>
      <x:c r="M102" s="2292"/>
      <x:c r="N102" s="2292"/>
      <x:c r="O102" s="2292"/>
      <x:c r="P102" s="2311"/>
      <x:c r="Q102" s="2311"/>
      <x:c r="R102" s="2311"/>
      <x:c r="S102" s="2311"/>
      <x:c r="T102" s="2311"/>
      <x:c r="U102" s="2311"/>
      <x:c r="V102" s="2311"/>
      <x:c r="W102" s="2311"/>
      <x:c r="X102" s="2311"/>
    </x:row>
    <x:row r="103">
      <x:c r="A103" s="2292"/>
      <x:c r="B103" s="2292"/>
      <x:c r="C103" s="2292"/>
      <x:c r="D103" s="2292"/>
      <x:c r="E103" s="2292"/>
      <x:c r="F103" s="2292"/>
      <x:c r="G103" s="2292"/>
      <x:c r="H103" s="2292"/>
      <x:c r="I103" s="2292"/>
      <x:c r="J103" s="2292"/>
      <x:c r="K103" s="2292"/>
      <x:c r="L103" s="2292"/>
      <x:c r="M103" s="2292"/>
      <x:c r="N103" s="2292"/>
      <x:c r="O103" s="2292"/>
      <x:c r="P103" s="2311"/>
      <x:c r="Q103" s="2311"/>
      <x:c r="R103" s="2311"/>
      <x:c r="S103" s="2311"/>
      <x:c r="T103" s="2311"/>
      <x:c r="U103" s="2311"/>
      <x:c r="V103" s="2311"/>
      <x:c r="W103" s="2311"/>
      <x:c r="X103" s="2311"/>
    </x:row>
    <x:row r="104">
      <x:c r="A104" s="2292"/>
      <x:c r="B104" s="2292"/>
      <x:c r="C104" s="2292"/>
      <x:c r="D104" s="2292"/>
      <x:c r="E104" s="2292"/>
      <x:c r="F104" s="2292"/>
      <x:c r="G104" s="2292"/>
      <x:c r="H104" s="2292"/>
      <x:c r="I104" s="2292"/>
      <x:c r="J104" s="2292"/>
      <x:c r="K104" s="2292"/>
      <x:c r="L104" s="2292"/>
      <x:c r="M104" s="2292"/>
      <x:c r="N104" s="2292"/>
      <x:c r="O104" s="2292"/>
      <x:c r="P104" s="2311"/>
      <x:c r="Q104" s="2311"/>
      <x:c r="R104" s="2311"/>
      <x:c r="S104" s="2311"/>
      <x:c r="T104" s="2311"/>
      <x:c r="U104" s="2311"/>
      <x:c r="V104" s="2311"/>
      <x:c r="W104" s="2311"/>
      <x:c r="X104" s="2311"/>
    </x:row>
    <x:row r="105">
      <x:c r="A105" s="2292"/>
      <x:c r="B105" s="2292"/>
      <x:c r="C105" s="2292"/>
      <x:c r="D105" s="2292"/>
      <x:c r="E105" s="2292"/>
      <x:c r="F105" s="2292"/>
      <x:c r="G105" s="2292"/>
      <x:c r="H105" s="2292"/>
      <x:c r="I105" s="2292"/>
      <x:c r="J105" s="2292"/>
      <x:c r="K105" s="2292"/>
      <x:c r="L105" s="2292"/>
      <x:c r="M105" s="2292"/>
      <x:c r="N105" s="2292"/>
      <x:c r="O105" s="2292"/>
      <x:c r="P105" s="2311"/>
      <x:c r="Q105" s="2311"/>
      <x:c r="R105" s="2311"/>
      <x:c r="S105" s="2311"/>
      <x:c r="T105" s="2311"/>
      <x:c r="U105" s="2311"/>
      <x:c r="V105" s="2311"/>
      <x:c r="W105" s="2311"/>
      <x:c r="X105" s="2311"/>
    </x:row>
    <x:row r="106">
      <x:c r="A106" s="2292"/>
      <x:c r="B106" s="2292"/>
      <x:c r="C106" s="2292"/>
      <x:c r="D106" s="2292"/>
      <x:c r="E106" s="2292"/>
      <x:c r="F106" s="2292"/>
      <x:c r="G106" s="2292"/>
      <x:c r="H106" s="2292"/>
      <x:c r="I106" s="2292"/>
      <x:c r="J106" s="2292"/>
      <x:c r="K106" s="2292"/>
      <x:c r="L106" s="2292"/>
      <x:c r="M106" s="2292"/>
      <x:c r="N106" s="2292"/>
      <x:c r="O106" s="2292"/>
      <x:c r="P106" s="2311"/>
      <x:c r="Q106" s="2311"/>
      <x:c r="R106" s="2311"/>
      <x:c r="S106" s="2311"/>
      <x:c r="T106" s="2311"/>
      <x:c r="U106" s="2311"/>
      <x:c r="V106" s="2311"/>
      <x:c r="W106" s="2311"/>
      <x:c r="X106" s="2311"/>
    </x:row>
    <x:row r="107">
      <x:c r="A107" s="2292"/>
      <x:c r="B107" s="2292"/>
      <x:c r="C107" s="2292"/>
      <x:c r="D107" s="2292"/>
      <x:c r="E107" s="2292"/>
      <x:c r="F107" s="2292"/>
      <x:c r="G107" s="2292"/>
      <x:c r="H107" s="2292"/>
      <x:c r="I107" s="2292"/>
      <x:c r="J107" s="2292"/>
      <x:c r="K107" s="2292"/>
      <x:c r="L107" s="2292"/>
      <x:c r="M107" s="2292"/>
      <x:c r="N107" s="2292"/>
      <x:c r="O107" s="2292"/>
      <x:c r="P107" s="2311"/>
      <x:c r="Q107" s="2311"/>
      <x:c r="R107" s="2311"/>
      <x:c r="S107" s="2311"/>
      <x:c r="T107" s="2311"/>
      <x:c r="U107" s="2311"/>
      <x:c r="V107" s="2311"/>
      <x:c r="W107" s="2311"/>
      <x:c r="X107" s="2311"/>
    </x:row>
    <x:row r="108">
      <x:c r="A108" s="2292"/>
      <x:c r="B108" s="2292"/>
      <x:c r="C108" s="2292"/>
      <x:c r="D108" s="2292"/>
      <x:c r="E108" s="2292"/>
      <x:c r="F108" s="2292"/>
      <x:c r="G108" s="2292"/>
      <x:c r="H108" s="2292"/>
      <x:c r="I108" s="2292"/>
      <x:c r="J108" s="2292"/>
      <x:c r="K108" s="2292"/>
      <x:c r="L108" s="2292"/>
      <x:c r="M108" s="2292"/>
      <x:c r="N108" s="2292"/>
      <x:c r="O108" s="2292"/>
      <x:c r="P108" s="2311"/>
      <x:c r="Q108" s="2311"/>
      <x:c r="R108" s="2311"/>
      <x:c r="S108" s="2311"/>
      <x:c r="T108" s="2311"/>
      <x:c r="U108" s="2311"/>
      <x:c r="V108" s="2311"/>
      <x:c r="W108" s="2311"/>
      <x:c r="X108" s="2311"/>
    </x:row>
    <x:row r="109">
      <x:c r="A109" s="2292"/>
      <x:c r="B109" s="2292"/>
      <x:c r="C109" s="2292"/>
      <x:c r="D109" s="2292"/>
      <x:c r="E109" s="2292"/>
      <x:c r="F109" s="2292"/>
      <x:c r="G109" s="2292"/>
      <x:c r="H109" s="2292"/>
      <x:c r="I109" s="2292"/>
      <x:c r="J109" s="2292"/>
      <x:c r="K109" s="2292"/>
      <x:c r="L109" s="2292"/>
      <x:c r="M109" s="2292"/>
      <x:c r="N109" s="2292"/>
      <x:c r="O109" s="2292"/>
      <x:c r="P109" s="2311"/>
      <x:c r="Q109" s="2311"/>
      <x:c r="R109" s="2311"/>
      <x:c r="S109" s="2311"/>
      <x:c r="T109" s="2311"/>
      <x:c r="U109" s="2311"/>
      <x:c r="V109" s="2311"/>
      <x:c r="W109" s="2311"/>
      <x:c r="X109" s="2311"/>
    </x:row>
    <x:row r="110">
      <x:c r="A110" s="2292"/>
      <x:c r="B110" s="2292"/>
      <x:c r="C110" s="2292"/>
      <x:c r="D110" s="2292"/>
      <x:c r="E110" s="2292"/>
      <x:c r="F110" s="2292"/>
      <x:c r="G110" s="2292"/>
      <x:c r="H110" s="2292"/>
      <x:c r="I110" s="2292"/>
      <x:c r="J110" s="2292"/>
      <x:c r="K110" s="2292"/>
      <x:c r="L110" s="2292"/>
      <x:c r="M110" s="2292"/>
      <x:c r="N110" s="2292"/>
      <x:c r="O110" s="2292"/>
      <x:c r="P110" s="2311"/>
      <x:c r="Q110" s="2311"/>
      <x:c r="R110" s="2311"/>
      <x:c r="S110" s="2311"/>
      <x:c r="T110" s="2311"/>
      <x:c r="U110" s="2311"/>
      <x:c r="V110" s="2311"/>
      <x:c r="W110" s="2311"/>
      <x:c r="X110" s="2311"/>
    </x:row>
    <x:row r="111">
      <x:c r="A111" s="214"/>
      <x:c r="B111" s="214"/>
      <x:c r="C111" s="214"/>
      <x:c r="D111" s="214"/>
      <x:c r="E111" s="214"/>
      <x:c r="F111" s="214"/>
      <x:c r="G111" s="214"/>
      <x:c r="H111" s="214"/>
      <x:c r="I111" s="214"/>
      <x:c r="J111" s="214"/>
      <x:c r="K111" s="214"/>
      <x:c r="L111" s="214"/>
      <x:c r="M111" s="214"/>
      <x:c r="N111" s="214"/>
      <x:c r="O111" s="214"/>
    </x:row>
    <x:row r="112">
      <x:c r="A112" s="214"/>
      <x:c r="B112" s="214"/>
      <x:c r="C112" s="214"/>
      <x:c r="D112" s="214"/>
      <x:c r="E112" s="214"/>
      <x:c r="F112" s="214"/>
      <x:c r="G112" s="214"/>
      <x:c r="H112" s="214"/>
      <x:c r="I112" s="214"/>
      <x:c r="J112" s="214"/>
      <x:c r="K112" s="214"/>
      <x:c r="L112" s="214"/>
      <x:c r="M112" s="214"/>
      <x:c r="N112" s="214"/>
      <x:c r="O112" s="214"/>
    </x:row>
    <x:row r="113">
      <x:c r="A113" s="214"/>
      <x:c r="B113" s="214"/>
      <x:c r="C113" s="214"/>
      <x:c r="D113" s="214"/>
      <x:c r="E113" s="214"/>
      <x:c r="F113" s="214"/>
      <x:c r="G113" s="214"/>
      <x:c r="H113" s="214"/>
      <x:c r="I113" s="214"/>
      <x:c r="J113" s="214"/>
      <x:c r="K113" s="214"/>
      <x:c r="L113" s="214"/>
      <x:c r="M113" s="214"/>
      <x:c r="N113" s="214"/>
      <x:c r="O113" s="214"/>
    </x:row>
    <x:row r="114">
      <x:c r="A114" s="214"/>
      <x:c r="B114" s="214"/>
      <x:c r="C114" s="214"/>
      <x:c r="D114" s="214"/>
      <x:c r="E114" s="214"/>
      <x:c r="F114" s="214"/>
      <x:c r="G114" s="214"/>
      <x:c r="H114" s="214"/>
      <x:c r="I114" s="214"/>
      <x:c r="J114" s="214"/>
      <x:c r="K114" s="214"/>
      <x:c r="L114" s="214"/>
      <x:c r="M114" s="214"/>
      <x:c r="N114" s="214"/>
      <x:c r="O114" s="214"/>
    </x:row>
    <x:row r="115">
      <x:c r="A115" s="214"/>
      <x:c r="B115" s="214"/>
      <x:c r="C115" s="214"/>
      <x:c r="D115" s="214"/>
      <x:c r="E115" s="214"/>
      <x:c r="F115" s="214"/>
      <x:c r="G115" s="214"/>
      <x:c r="H115" s="214"/>
      <x:c r="I115" s="214"/>
      <x:c r="J115" s="214"/>
      <x:c r="K115" s="214"/>
      <x:c r="L115" s="214"/>
      <x:c r="M115" s="214"/>
      <x:c r="N115" s="214"/>
      <x:c r="O115" s="214"/>
    </x:row>
    <x:row r="116">
      <x:c r="A116" s="214"/>
      <x:c r="B116" s="214"/>
      <x:c r="C116" s="214"/>
      <x:c r="D116" s="214"/>
      <x:c r="E116" s="214"/>
      <x:c r="F116" s="214"/>
      <x:c r="G116" s="214"/>
      <x:c r="H116" s="214"/>
      <x:c r="I116" s="214"/>
      <x:c r="J116" s="214"/>
      <x:c r="K116" s="214"/>
      <x:c r="L116" s="214"/>
      <x:c r="M116" s="214"/>
      <x:c r="N116" s="214"/>
      <x:c r="O116" s="214"/>
    </x:row>
    <x:row r="117">
      <x:c r="A117" s="214"/>
      <x:c r="B117" s="214"/>
      <x:c r="C117" s="214"/>
      <x:c r="D117" s="214"/>
      <x:c r="E117" s="214"/>
      <x:c r="F117" s="214"/>
      <x:c r="G117" s="214"/>
      <x:c r="H117" s="214"/>
      <x:c r="I117" s="214"/>
      <x:c r="J117" s="214"/>
      <x:c r="K117" s="214"/>
      <x:c r="L117" s="214"/>
      <x:c r="M117" s="214"/>
      <x:c r="N117" s="214"/>
      <x:c r="O117" s="214"/>
    </x:row>
    <x:row r="118">
      <x:c r="A118" s="214"/>
      <x:c r="B118" s="214"/>
      <x:c r="C118" s="214"/>
      <x:c r="D118" s="214"/>
      <x:c r="E118" s="214"/>
      <x:c r="F118" s="214"/>
      <x:c r="G118" s="214"/>
      <x:c r="H118" s="214"/>
      <x:c r="I118" s="214"/>
      <x:c r="J118" s="214"/>
      <x:c r="K118" s="214"/>
      <x:c r="L118" s="214"/>
      <x:c r="M118" s="214"/>
      <x:c r="N118" s="214"/>
      <x:c r="O118" s="214"/>
    </x:row>
    <x:row r="119">
      <x:c r="A119" s="214"/>
      <x:c r="B119" s="214"/>
      <x:c r="C119" s="214"/>
      <x:c r="D119" s="214"/>
      <x:c r="E119" s="214"/>
      <x:c r="F119" s="214"/>
      <x:c r="G119" s="214"/>
      <x:c r="H119" s="214"/>
      <x:c r="I119" s="214"/>
      <x:c r="J119" s="214"/>
      <x:c r="K119" s="214"/>
      <x:c r="L119" s="214"/>
      <x:c r="M119" s="214"/>
      <x:c r="N119" s="214"/>
      <x:c r="O119" s="214"/>
    </x:row>
    <x:row r="120">
      <x:c r="A120" s="214"/>
      <x:c r="B120" s="214"/>
      <x:c r="C120" s="214"/>
      <x:c r="D120" s="214"/>
      <x:c r="E120" s="214"/>
      <x:c r="F120" s="214"/>
      <x:c r="G120" s="214"/>
      <x:c r="H120" s="214"/>
      <x:c r="I120" s="214"/>
      <x:c r="J120" s="214"/>
      <x:c r="K120" s="214"/>
      <x:c r="L120" s="214"/>
      <x:c r="M120" s="214"/>
      <x:c r="N120" s="214"/>
      <x:c r="O120" s="214"/>
    </x:row>
    <x:row r="121">
      <x:c r="A121" s="214"/>
      <x:c r="B121" s="214"/>
      <x:c r="C121" s="214"/>
      <x:c r="D121" s="214"/>
      <x:c r="E121" s="214"/>
      <x:c r="F121" s="214"/>
      <x:c r="G121" s="214"/>
      <x:c r="H121" s="214"/>
      <x:c r="I121" s="214"/>
      <x:c r="J121" s="214"/>
      <x:c r="K121" s="214"/>
      <x:c r="L121" s="214"/>
      <x:c r="M121" s="214"/>
      <x:c r="N121" s="214"/>
      <x:c r="O121" s="214"/>
    </x:row>
    <x:row r="122">
      <x:c r="A122" s="214"/>
      <x:c r="B122" s="214"/>
      <x:c r="C122" s="214"/>
      <x:c r="D122" s="214"/>
      <x:c r="E122" s="214"/>
      <x:c r="F122" s="214"/>
      <x:c r="G122" s="214"/>
      <x:c r="H122" s="214"/>
      <x:c r="I122" s="214"/>
      <x:c r="J122" s="214"/>
      <x:c r="K122" s="214"/>
      <x:c r="L122" s="214"/>
      <x:c r="M122" s="214"/>
      <x:c r="N122" s="214"/>
      <x:c r="O122" s="214"/>
    </x:row>
    <x:row r="123">
      <x:c r="A123" s="214"/>
      <x:c r="B123" s="214"/>
      <x:c r="C123" s="214"/>
      <x:c r="D123" s="214"/>
      <x:c r="E123" s="214"/>
      <x:c r="F123" s="214"/>
      <x:c r="G123" s="214"/>
      <x:c r="H123" s="214"/>
      <x:c r="I123" s="214"/>
      <x:c r="J123" s="214"/>
      <x:c r="K123" s="214"/>
      <x:c r="L123" s="214"/>
      <x:c r="M123" s="214"/>
      <x:c r="N123" s="214"/>
      <x:c r="O123" s="214"/>
    </x:row>
    <x:row r="124">
      <x:c r="A124" s="214"/>
      <x:c r="B124" s="214"/>
      <x:c r="C124" s="214"/>
      <x:c r="D124" s="214"/>
      <x:c r="E124" s="214"/>
      <x:c r="F124" s="214"/>
      <x:c r="G124" s="214"/>
      <x:c r="H124" s="214"/>
      <x:c r="I124" s="214"/>
      <x:c r="J124" s="214"/>
      <x:c r="K124" s="214"/>
      <x:c r="L124" s="214"/>
      <x:c r="M124" s="214"/>
      <x:c r="N124" s="214"/>
      <x:c r="O124" s="214"/>
    </x:row>
    <x:row r="125">
      <x:c r="A125" s="214"/>
      <x:c r="B125" s="214"/>
      <x:c r="C125" s="214"/>
      <x:c r="D125" s="214"/>
      <x:c r="E125" s="214"/>
      <x:c r="F125" s="214"/>
      <x:c r="G125" s="214"/>
      <x:c r="H125" s="214"/>
      <x:c r="I125" s="214"/>
      <x:c r="J125" s="214"/>
      <x:c r="K125" s="214"/>
      <x:c r="L125" s="214"/>
      <x:c r="M125" s="214"/>
      <x:c r="N125" s="214"/>
      <x:c r="O125" s="214"/>
    </x:row>
    <x:row r="126">
      <x:c r="A126" s="214"/>
      <x:c r="B126" s="214"/>
      <x:c r="C126" s="214"/>
      <x:c r="D126" s="214"/>
      <x:c r="E126" s="214"/>
      <x:c r="F126" s="214"/>
      <x:c r="G126" s="214"/>
      <x:c r="H126" s="214"/>
      <x:c r="I126" s="214"/>
      <x:c r="J126" s="214"/>
      <x:c r="K126" s="214"/>
      <x:c r="L126" s="214"/>
      <x:c r="M126" s="214"/>
      <x:c r="N126" s="214"/>
      <x:c r="O126" s="214"/>
    </x:row>
    <x:row r="127">
      <x:c r="A127" s="214"/>
      <x:c r="B127" s="214"/>
      <x:c r="C127" s="214"/>
      <x:c r="D127" s="214"/>
      <x:c r="E127" s="214"/>
      <x:c r="F127" s="214"/>
      <x:c r="G127" s="214"/>
      <x:c r="H127" s="214"/>
      <x:c r="I127" s="214"/>
      <x:c r="J127" s="214"/>
      <x:c r="K127" s="214"/>
      <x:c r="L127" s="214"/>
      <x:c r="M127" s="214"/>
      <x:c r="N127" s="214"/>
      <x:c r="O127" s="214"/>
    </x:row>
    <x:row r="128">
      <x:c r="A128" s="214"/>
      <x:c r="B128" s="214"/>
      <x:c r="C128" s="214"/>
      <x:c r="D128" s="214"/>
      <x:c r="E128" s="214"/>
      <x:c r="F128" s="214"/>
      <x:c r="G128" s="214"/>
      <x:c r="H128" s="214"/>
      <x:c r="I128" s="214"/>
      <x:c r="J128" s="214"/>
      <x:c r="K128" s="214"/>
      <x:c r="L128" s="214"/>
      <x:c r="M128" s="214"/>
      <x:c r="N128" s="214"/>
      <x:c r="O128" s="214"/>
    </x:row>
    <x:row r="129">
      <x:c r="A129" s="214"/>
      <x:c r="B129" s="214"/>
      <x:c r="C129" s="214"/>
      <x:c r="D129" s="214"/>
      <x:c r="E129" s="214"/>
      <x:c r="F129" s="214"/>
      <x:c r="G129" s="214"/>
      <x:c r="H129" s="214"/>
      <x:c r="I129" s="214"/>
      <x:c r="J129" s="214"/>
      <x:c r="K129" s="214"/>
      <x:c r="L129" s="214"/>
      <x:c r="M129" s="214"/>
      <x:c r="N129" s="214"/>
      <x:c r="O129" s="214"/>
    </x:row>
    <x:row r="130">
      <x:c r="A130" s="214"/>
      <x:c r="B130" s="214"/>
      <x:c r="C130" s="214"/>
      <x:c r="D130" s="214"/>
      <x:c r="E130" s="214"/>
      <x:c r="F130" s="214"/>
      <x:c r="G130" s="214"/>
      <x:c r="H130" s="214"/>
      <x:c r="I130" s="214"/>
      <x:c r="J130" s="214"/>
      <x:c r="K130" s="214"/>
      <x:c r="L130" s="214"/>
      <x:c r="M130" s="214"/>
      <x:c r="N130" s="214"/>
      <x:c r="O130" s="214"/>
    </x:row>
    <x:row r="131">
      <x:c r="A131" s="214"/>
      <x:c r="B131" s="214"/>
      <x:c r="C131" s="214"/>
      <x:c r="D131" s="214"/>
      <x:c r="E131" s="214"/>
      <x:c r="F131" s="214"/>
      <x:c r="G131" s="214"/>
      <x:c r="H131" s="214"/>
      <x:c r="I131" s="214"/>
      <x:c r="J131" s="214"/>
      <x:c r="K131" s="214"/>
      <x:c r="L131" s="214"/>
      <x:c r="M131" s="214"/>
      <x:c r="N131" s="214"/>
      <x:c r="O131" s="214"/>
    </x:row>
    <x:row r="132">
      <x:c r="A132" s="214"/>
      <x:c r="B132" s="214"/>
      <x:c r="C132" s="214"/>
      <x:c r="D132" s="214"/>
      <x:c r="E132" s="214"/>
      <x:c r="F132" s="214"/>
      <x:c r="G132" s="214"/>
      <x:c r="H132" s="214"/>
      <x:c r="I132" s="214"/>
      <x:c r="J132" s="214"/>
      <x:c r="K132" s="214"/>
      <x:c r="L132" s="214"/>
      <x:c r="M132" s="214"/>
      <x:c r="N132" s="214"/>
      <x:c r="O132" s="214"/>
    </x:row>
    <x:row r="133">
      <x:c r="A133" s="214"/>
      <x:c r="B133" s="214"/>
      <x:c r="C133" s="214"/>
      <x:c r="D133" s="214"/>
      <x:c r="E133" s="214"/>
      <x:c r="F133" s="214"/>
      <x:c r="G133" s="214"/>
      <x:c r="H133" s="214"/>
      <x:c r="I133" s="214"/>
      <x:c r="J133" s="214"/>
      <x:c r="K133" s="214"/>
      <x:c r="L133" s="214"/>
      <x:c r="M133" s="214"/>
      <x:c r="N133" s="214"/>
      <x:c r="O133" s="214"/>
    </x:row>
    <x:row r="134">
      <x:c r="A134" s="214"/>
      <x:c r="B134" s="214"/>
      <x:c r="C134" s="214"/>
      <x:c r="D134" s="214"/>
      <x:c r="E134" s="214"/>
      <x:c r="F134" s="214"/>
      <x:c r="G134" s="214"/>
      <x:c r="H134" s="214"/>
      <x:c r="I134" s="214"/>
      <x:c r="J134" s="214"/>
      <x:c r="K134" s="214"/>
      <x:c r="L134" s="214"/>
      <x:c r="M134" s="214"/>
      <x:c r="N134" s="214"/>
      <x:c r="O134" s="214"/>
    </x:row>
    <x:row r="135">
      <x:c r="A135" s="214"/>
      <x:c r="B135" s="214"/>
      <x:c r="C135" s="214"/>
      <x:c r="D135" s="214"/>
      <x:c r="E135" s="214"/>
      <x:c r="F135" s="214"/>
      <x:c r="G135" s="214"/>
      <x:c r="H135" s="214"/>
      <x:c r="I135" s="214"/>
      <x:c r="J135" s="214"/>
      <x:c r="K135" s="214"/>
      <x:c r="L135" s="214"/>
      <x:c r="M135" s="214"/>
      <x:c r="N135" s="214"/>
      <x:c r="O135" s="214"/>
    </x:row>
    <x:row r="136">
      <x:c r="A136" s="214"/>
      <x:c r="B136" s="214"/>
      <x:c r="C136" s="214"/>
      <x:c r="D136" s="214"/>
      <x:c r="E136" s="214"/>
      <x:c r="F136" s="214"/>
      <x:c r="G136" s="214"/>
      <x:c r="H136" s="214"/>
      <x:c r="I136" s="214"/>
      <x:c r="J136" s="214"/>
      <x:c r="K136" s="214"/>
      <x:c r="L136" s="214"/>
      <x:c r="M136" s="214"/>
      <x:c r="N136" s="214"/>
      <x:c r="O136" s="214"/>
    </x:row>
    <x:row r="137">
      <x:c r="A137" s="214"/>
      <x:c r="B137" s="214"/>
      <x:c r="C137" s="214"/>
      <x:c r="D137" s="214"/>
      <x:c r="E137" s="214"/>
      <x:c r="F137" s="214"/>
      <x:c r="G137" s="214"/>
      <x:c r="H137" s="214"/>
      <x:c r="I137" s="214"/>
      <x:c r="J137" s="214"/>
      <x:c r="K137" s="214"/>
      <x:c r="L137" s="214"/>
      <x:c r="M137" s="214"/>
      <x:c r="N137" s="214"/>
      <x:c r="O137" s="214"/>
    </x:row>
    <x:row r="138">
      <x:c r="A138" s="214"/>
      <x:c r="B138" s="214"/>
      <x:c r="C138" s="214"/>
      <x:c r="D138" s="214"/>
      <x:c r="E138" s="214"/>
      <x:c r="F138" s="214"/>
      <x:c r="G138" s="214"/>
      <x:c r="H138" s="214"/>
      <x:c r="I138" s="214"/>
      <x:c r="J138" s="214"/>
      <x:c r="K138" s="214"/>
      <x:c r="L138" s="214"/>
      <x:c r="M138" s="214"/>
      <x:c r="N138" s="214"/>
      <x:c r="O138" s="214"/>
    </x:row>
    <x:row r="139">
      <x:c r="A139" s="214"/>
      <x:c r="B139" s="214"/>
      <x:c r="C139" s="214"/>
      <x:c r="D139" s="214"/>
      <x:c r="E139" s="214"/>
      <x:c r="F139" s="214"/>
      <x:c r="G139" s="214"/>
      <x:c r="H139" s="214"/>
      <x:c r="I139" s="214"/>
      <x:c r="J139" s="214"/>
      <x:c r="K139" s="214"/>
      <x:c r="L139" s="214"/>
      <x:c r="M139" s="214"/>
      <x:c r="N139" s="214"/>
      <x:c r="O139" s="214"/>
    </x:row>
    <x:row r="140">
      <x:c r="A140" s="214"/>
      <x:c r="B140" s="214"/>
      <x:c r="C140" s="214"/>
      <x:c r="D140" s="214"/>
      <x:c r="E140" s="214"/>
      <x:c r="F140" s="214"/>
      <x:c r="G140" s="214"/>
      <x:c r="H140" s="214"/>
      <x:c r="I140" s="214"/>
      <x:c r="J140" s="214"/>
      <x:c r="K140" s="214"/>
      <x:c r="L140" s="214"/>
      <x:c r="M140" s="214"/>
      <x:c r="N140" s="214"/>
      <x:c r="O140" s="214"/>
    </x:row>
    <x:row r="141">
      <x:c r="A141" s="214"/>
      <x:c r="B141" s="214"/>
      <x:c r="C141" s="214"/>
      <x:c r="D141" s="214"/>
      <x:c r="E141" s="214"/>
      <x:c r="F141" s="214"/>
      <x:c r="G141" s="214"/>
      <x:c r="H141" s="214"/>
      <x:c r="I141" s="214"/>
      <x:c r="J141" s="214"/>
      <x:c r="K141" s="214"/>
      <x:c r="L141" s="214"/>
      <x:c r="M141" s="214"/>
      <x:c r="N141" s="214"/>
      <x:c r="O141" s="214"/>
    </x:row>
    <x:row r="142">
      <x:c r="A142" s="214"/>
      <x:c r="B142" s="214"/>
      <x:c r="C142" s="214"/>
      <x:c r="D142" s="214"/>
      <x:c r="E142" s="214"/>
      <x:c r="F142" s="214"/>
      <x:c r="G142" s="214"/>
      <x:c r="H142" s="214"/>
      <x:c r="I142" s="214"/>
      <x:c r="J142" s="214"/>
      <x:c r="K142" s="214"/>
      <x:c r="L142" s="214"/>
      <x:c r="M142" s="214"/>
      <x:c r="N142" s="214"/>
      <x:c r="O142" s="214"/>
    </x:row>
    <x:row r="143">
      <x:c r="A143" s="214"/>
      <x:c r="B143" s="214"/>
      <x:c r="C143" s="214"/>
      <x:c r="D143" s="214"/>
      <x:c r="E143" s="214"/>
      <x:c r="F143" s="214"/>
      <x:c r="G143" s="214"/>
      <x:c r="H143" s="214"/>
      <x:c r="I143" s="214"/>
      <x:c r="J143" s="214"/>
      <x:c r="K143" s="214"/>
      <x:c r="L143" s="214"/>
      <x:c r="M143" s="214"/>
      <x:c r="N143" s="214"/>
      <x:c r="O143" s="214"/>
    </x:row>
    <x:row r="144">
      <x:c r="A144" s="214"/>
      <x:c r="B144" s="214"/>
      <x:c r="C144" s="214"/>
      <x:c r="D144" s="214"/>
      <x:c r="E144" s="214"/>
      <x:c r="F144" s="214"/>
      <x:c r="G144" s="214"/>
      <x:c r="H144" s="214"/>
      <x:c r="I144" s="214"/>
      <x:c r="J144" s="214"/>
      <x:c r="K144" s="214"/>
      <x:c r="L144" s="214"/>
      <x:c r="M144" s="214"/>
      <x:c r="N144" s="214"/>
      <x:c r="O144" s="214"/>
    </x:row>
    <x:row r="145">
      <x:c r="A145" s="214"/>
      <x:c r="B145" s="214"/>
      <x:c r="C145" s="214"/>
      <x:c r="D145" s="214"/>
      <x:c r="E145" s="214"/>
      <x:c r="F145" s="214"/>
      <x:c r="G145" s="214"/>
      <x:c r="H145" s="214"/>
      <x:c r="I145" s="214"/>
      <x:c r="J145" s="214"/>
      <x:c r="K145" s="214"/>
      <x:c r="L145" s="214"/>
      <x:c r="M145" s="214"/>
      <x:c r="N145" s="214"/>
      <x:c r="O145" s="214"/>
    </x:row>
    <x:row r="146">
      <x:c r="A146" s="214"/>
      <x:c r="B146" s="214"/>
      <x:c r="C146" s="214"/>
      <x:c r="D146" s="214"/>
      <x:c r="E146" s="214"/>
      <x:c r="F146" s="214"/>
      <x:c r="G146" s="214"/>
      <x:c r="H146" s="214"/>
      <x:c r="I146" s="214"/>
      <x:c r="J146" s="214"/>
      <x:c r="K146" s="214"/>
      <x:c r="L146" s="214"/>
      <x:c r="M146" s="214"/>
      <x:c r="N146" s="214"/>
      <x:c r="O146" s="214"/>
    </x:row>
    <x:row r="147">
      <x:c r="A147" s="214"/>
      <x:c r="B147" s="214"/>
      <x:c r="C147" s="214"/>
      <x:c r="D147" s="214"/>
      <x:c r="E147" s="214"/>
      <x:c r="F147" s="214"/>
      <x:c r="G147" s="214"/>
      <x:c r="H147" s="214"/>
      <x:c r="I147" s="214"/>
      <x:c r="J147" s="214"/>
      <x:c r="K147" s="214"/>
      <x:c r="L147" s="214"/>
      <x:c r="M147" s="214"/>
      <x:c r="N147" s="214"/>
      <x:c r="O147" s="214"/>
    </x:row>
    <x:row r="148">
      <x:c r="A148" s="214"/>
      <x:c r="B148" s="214"/>
      <x:c r="C148" s="214"/>
      <x:c r="D148" s="214"/>
      <x:c r="E148" s="214"/>
      <x:c r="F148" s="214"/>
      <x:c r="G148" s="214"/>
      <x:c r="H148" s="214"/>
      <x:c r="I148" s="214"/>
      <x:c r="J148" s="214"/>
      <x:c r="K148" s="214"/>
      <x:c r="L148" s="214"/>
      <x:c r="M148" s="214"/>
      <x:c r="N148" s="214"/>
      <x:c r="O148" s="214"/>
    </x:row>
    <x:row r="149">
      <x:c r="A149" s="214"/>
      <x:c r="B149" s="214"/>
      <x:c r="C149" s="214"/>
      <x:c r="D149" s="214"/>
      <x:c r="E149" s="214"/>
      <x:c r="F149" s="214"/>
      <x:c r="G149" s="214"/>
      <x:c r="H149" s="214"/>
      <x:c r="I149" s="214"/>
      <x:c r="J149" s="214"/>
      <x:c r="K149" s="214"/>
      <x:c r="L149" s="214"/>
      <x:c r="M149" s="214"/>
      <x:c r="N149" s="214"/>
      <x:c r="O149" s="214"/>
    </x:row>
    <x:row r="150">
      <x:c r="A150" s="214"/>
      <x:c r="B150" s="214"/>
      <x:c r="C150" s="214"/>
      <x:c r="D150" s="214"/>
      <x:c r="E150" s="214"/>
      <x:c r="F150" s="214"/>
      <x:c r="G150" s="214"/>
      <x:c r="H150" s="214"/>
      <x:c r="I150" s="214"/>
      <x:c r="J150" s="214"/>
      <x:c r="K150" s="214"/>
      <x:c r="L150" s="214"/>
      <x:c r="M150" s="214"/>
      <x:c r="N150" s="214"/>
      <x:c r="O150" s="214"/>
    </x:row>
    <x:row r="151">
      <x:c r="A151" s="214"/>
      <x:c r="B151" s="214"/>
      <x:c r="C151" s="214"/>
      <x:c r="D151" s="214"/>
      <x:c r="E151" s="214"/>
      <x:c r="F151" s="214"/>
      <x:c r="G151" s="214"/>
      <x:c r="H151" s="214"/>
      <x:c r="I151" s="214"/>
      <x:c r="J151" s="214"/>
      <x:c r="K151" s="214"/>
      <x:c r="L151" s="214"/>
      <x:c r="M151" s="214"/>
      <x:c r="N151" s="214"/>
      <x:c r="O151" s="214"/>
    </x:row>
    <x:row r="152">
      <x:c r="A152" s="214"/>
      <x:c r="B152" s="214"/>
      <x:c r="C152" s="214"/>
      <x:c r="D152" s="214"/>
      <x:c r="E152" s="214"/>
      <x:c r="F152" s="214"/>
      <x:c r="G152" s="214"/>
      <x:c r="H152" s="214"/>
      <x:c r="I152" s="214"/>
      <x:c r="J152" s="214"/>
      <x:c r="K152" s="214"/>
      <x:c r="L152" s="214"/>
      <x:c r="M152" s="214"/>
      <x:c r="N152" s="214"/>
      <x:c r="O152" s="214"/>
    </x:row>
    <x:row r="153">
      <x:c r="A153" s="214"/>
      <x:c r="B153" s="214"/>
      <x:c r="C153" s="214"/>
      <x:c r="D153" s="214"/>
      <x:c r="E153" s="214"/>
      <x:c r="F153" s="214"/>
      <x:c r="G153" s="214"/>
      <x:c r="H153" s="214"/>
      <x:c r="I153" s="214"/>
      <x:c r="J153" s="214"/>
      <x:c r="K153" s="214"/>
      <x:c r="L153" s="214"/>
      <x:c r="M153" s="214"/>
      <x:c r="N153" s="214"/>
      <x:c r="O153" s="214"/>
    </x:row>
    <x:row r="154">
      <x:c r="A154" s="214"/>
      <x:c r="B154" s="214"/>
      <x:c r="C154" s="214"/>
      <x:c r="D154" s="214"/>
      <x:c r="E154" s="214"/>
      <x:c r="F154" s="214"/>
      <x:c r="G154" s="214"/>
      <x:c r="H154" s="214"/>
      <x:c r="I154" s="214"/>
      <x:c r="J154" s="214"/>
      <x:c r="K154" s="214"/>
      <x:c r="L154" s="214"/>
      <x:c r="M154" s="214"/>
      <x:c r="N154" s="214"/>
      <x:c r="O154" s="214"/>
    </x:row>
    <x:row r="155">
      <x:c r="A155" s="214"/>
      <x:c r="B155" s="214"/>
      <x:c r="C155" s="214"/>
      <x:c r="D155" s="214"/>
      <x:c r="E155" s="214"/>
      <x:c r="F155" s="214"/>
      <x:c r="G155" s="214"/>
      <x:c r="H155" s="214"/>
      <x:c r="I155" s="214"/>
      <x:c r="J155" s="214"/>
      <x:c r="K155" s="214"/>
      <x:c r="L155" s="214"/>
      <x:c r="M155" s="214"/>
      <x:c r="N155" s="214"/>
      <x:c r="O155" s="214"/>
    </x:row>
    <x:row r="156">
      <x:c r="A156" s="214"/>
      <x:c r="B156" s="214"/>
      <x:c r="C156" s="214"/>
      <x:c r="D156" s="214"/>
      <x:c r="E156" s="214"/>
      <x:c r="F156" s="214"/>
      <x:c r="G156" s="214"/>
      <x:c r="H156" s="214"/>
      <x:c r="I156" s="214"/>
      <x:c r="J156" s="214"/>
      <x:c r="K156" s="214"/>
      <x:c r="L156" s="214"/>
      <x:c r="M156" s="214"/>
      <x:c r="N156" s="214"/>
      <x:c r="O156" s="214"/>
    </x:row>
    <x:row r="157">
      <x:c r="A157" s="214"/>
      <x:c r="B157" s="214"/>
      <x:c r="C157" s="214"/>
      <x:c r="D157" s="214"/>
      <x:c r="E157" s="214"/>
      <x:c r="F157" s="214"/>
      <x:c r="G157" s="214"/>
      <x:c r="H157" s="214"/>
      <x:c r="I157" s="214"/>
      <x:c r="J157" s="214"/>
      <x:c r="K157" s="214"/>
      <x:c r="L157" s="214"/>
      <x:c r="M157" s="214"/>
      <x:c r="N157" s="214"/>
      <x:c r="O157" s="214"/>
    </x:row>
    <x:row r="158">
      <x:c r="A158" s="214"/>
      <x:c r="B158" s="214"/>
      <x:c r="C158" s="214"/>
      <x:c r="D158" s="214"/>
      <x:c r="E158" s="214"/>
      <x:c r="F158" s="214"/>
      <x:c r="G158" s="214"/>
      <x:c r="H158" s="214"/>
      <x:c r="I158" s="214"/>
      <x:c r="J158" s="214"/>
      <x:c r="K158" s="214"/>
      <x:c r="L158" s="214"/>
      <x:c r="M158" s="214"/>
      <x:c r="N158" s="214"/>
      <x:c r="O158" s="214"/>
    </x:row>
    <x:row r="159">
      <x:c r="A159" s="214"/>
      <x:c r="B159" s="214"/>
      <x:c r="C159" s="214"/>
      <x:c r="D159" s="214"/>
      <x:c r="E159" s="214"/>
      <x:c r="F159" s="214"/>
      <x:c r="G159" s="214"/>
      <x:c r="H159" s="214"/>
      <x:c r="I159" s="214"/>
      <x:c r="J159" s="214"/>
      <x:c r="K159" s="214"/>
      <x:c r="L159" s="214"/>
      <x:c r="M159" s="214"/>
      <x:c r="N159" s="214"/>
      <x:c r="O159" s="214"/>
    </x:row>
    <x:row r="160">
      <x:c r="A160" s="214"/>
      <x:c r="B160" s="214"/>
      <x:c r="C160" s="214"/>
      <x:c r="D160" s="214"/>
      <x:c r="E160" s="214"/>
      <x:c r="F160" s="214"/>
      <x:c r="G160" s="214"/>
      <x:c r="H160" s="214"/>
      <x:c r="I160" s="214"/>
      <x:c r="J160" s="214"/>
      <x:c r="K160" s="214"/>
      <x:c r="L160" s="214"/>
      <x:c r="M160" s="214"/>
      <x:c r="N160" s="214"/>
      <x:c r="O160" s="214"/>
    </x:row>
    <x:row r="161">
      <x:c r="A161" s="214"/>
      <x:c r="B161" s="214"/>
      <x:c r="C161" s="214"/>
      <x:c r="D161" s="214"/>
      <x:c r="E161" s="214"/>
      <x:c r="F161" s="214"/>
      <x:c r="G161" s="214"/>
      <x:c r="H161" s="214"/>
      <x:c r="I161" s="214"/>
      <x:c r="J161" s="214"/>
      <x:c r="K161" s="214"/>
      <x:c r="L161" s="214"/>
      <x:c r="M161" s="214"/>
      <x:c r="N161" s="214"/>
      <x:c r="O161" s="214"/>
    </x:row>
    <x:row r="162">
      <x:c r="A162" s="214"/>
      <x:c r="B162" s="214"/>
      <x:c r="C162" s="214"/>
      <x:c r="D162" s="214"/>
      <x:c r="E162" s="214"/>
      <x:c r="F162" s="214"/>
      <x:c r="G162" s="214"/>
      <x:c r="H162" s="214"/>
      <x:c r="I162" s="214"/>
      <x:c r="J162" s="214"/>
      <x:c r="K162" s="214"/>
      <x:c r="L162" s="214"/>
      <x:c r="M162" s="214"/>
      <x:c r="N162" s="214"/>
      <x:c r="O162" s="214"/>
    </x:row>
    <x:row r="163">
      <x:c r="A163" s="214"/>
      <x:c r="B163" s="214"/>
      <x:c r="C163" s="214"/>
      <x:c r="D163" s="214"/>
      <x:c r="E163" s="214"/>
      <x:c r="F163" s="214"/>
      <x:c r="G163" s="214"/>
      <x:c r="H163" s="214"/>
      <x:c r="I163" s="214"/>
      <x:c r="J163" s="214"/>
      <x:c r="K163" s="214"/>
      <x:c r="L163" s="214"/>
      <x:c r="M163" s="214"/>
      <x:c r="N163" s="214"/>
      <x:c r="O163" s="214"/>
    </x:row>
    <x:row r="164">
      <x:c r="A164" s="214"/>
      <x:c r="B164" s="214"/>
      <x:c r="C164" s="214"/>
      <x:c r="D164" s="214"/>
      <x:c r="E164" s="214"/>
      <x:c r="F164" s="214"/>
      <x:c r="G164" s="214"/>
      <x:c r="H164" s="214"/>
      <x:c r="I164" s="214"/>
      <x:c r="J164" s="214"/>
      <x:c r="K164" s="214"/>
      <x:c r="L164" s="214"/>
      <x:c r="M164" s="214"/>
      <x:c r="N164" s="214"/>
      <x:c r="O164" s="214"/>
    </x:row>
    <x:row r="165">
      <x:c r="A165" s="214"/>
      <x:c r="B165" s="214"/>
      <x:c r="C165" s="214"/>
      <x:c r="D165" s="214"/>
      <x:c r="E165" s="214"/>
      <x:c r="F165" s="214"/>
      <x:c r="G165" s="214"/>
      <x:c r="H165" s="214"/>
      <x:c r="I165" s="214"/>
      <x:c r="J165" s="214"/>
      <x:c r="K165" s="214"/>
      <x:c r="L165" s="214"/>
      <x:c r="M165" s="214"/>
      <x:c r="N165" s="214"/>
      <x:c r="O165" s="214"/>
    </x:row>
    <x:row r="166">
      <x:c r="A166" s="214"/>
      <x:c r="B166" s="214"/>
      <x:c r="C166" s="214"/>
      <x:c r="D166" s="214"/>
      <x:c r="E166" s="214"/>
      <x:c r="F166" s="214"/>
      <x:c r="G166" s="214"/>
      <x:c r="H166" s="214"/>
      <x:c r="I166" s="214"/>
      <x:c r="J166" s="214"/>
      <x:c r="K166" s="214"/>
      <x:c r="L166" s="214"/>
      <x:c r="M166" s="214"/>
      <x:c r="N166" s="214"/>
      <x:c r="O166" s="214"/>
    </x:row>
    <x:row r="167">
      <x:c r="A167" s="214"/>
      <x:c r="B167" s="214"/>
      <x:c r="C167" s="214"/>
      <x:c r="D167" s="214"/>
      <x:c r="E167" s="214"/>
      <x:c r="F167" s="214"/>
      <x:c r="G167" s="214"/>
      <x:c r="H167" s="214"/>
      <x:c r="I167" s="214"/>
      <x:c r="J167" s="214"/>
      <x:c r="K167" s="214"/>
      <x:c r="L167" s="214"/>
      <x:c r="M167" s="214"/>
      <x:c r="N167" s="214"/>
      <x:c r="O167" s="214"/>
    </x:row>
    <x:row r="168">
      <x:c r="A168" s="214"/>
      <x:c r="B168" s="214"/>
      <x:c r="C168" s="214"/>
      <x:c r="D168" s="214"/>
      <x:c r="E168" s="214"/>
      <x:c r="F168" s="214"/>
      <x:c r="G168" s="214"/>
      <x:c r="H168" s="214"/>
      <x:c r="I168" s="214"/>
      <x:c r="J168" s="214"/>
      <x:c r="K168" s="214"/>
      <x:c r="L168" s="214"/>
      <x:c r="M168" s="214"/>
      <x:c r="N168" s="214"/>
      <x:c r="O168" s="214"/>
    </x:row>
    <x:row r="169">
      <x:c r="A169" s="214"/>
      <x:c r="B169" s="214"/>
      <x:c r="C169" s="214"/>
      <x:c r="D169" s="214"/>
      <x:c r="E169" s="214"/>
      <x:c r="F169" s="214"/>
      <x:c r="G169" s="214"/>
      <x:c r="H169" s="214"/>
      <x:c r="I169" s="214"/>
      <x:c r="J169" s="214"/>
      <x:c r="K169" s="214"/>
      <x:c r="L169" s="214"/>
      <x:c r="M169" s="214"/>
      <x:c r="N169" s="214"/>
      <x:c r="O169" s="214"/>
    </x:row>
    <x:row r="170">
      <x:c r="A170" s="214"/>
      <x:c r="B170" s="214"/>
      <x:c r="C170" s="214"/>
      <x:c r="D170" s="214"/>
      <x:c r="E170" s="214"/>
      <x:c r="F170" s="214"/>
      <x:c r="G170" s="214"/>
      <x:c r="H170" s="214"/>
      <x:c r="I170" s="214"/>
      <x:c r="J170" s="214"/>
      <x:c r="K170" s="214"/>
      <x:c r="L170" s="214"/>
      <x:c r="M170" s="214"/>
      <x:c r="N170" s="214"/>
      <x:c r="O170" s="214"/>
    </x:row>
    <x:row r="171">
      <x:c r="A171" s="214"/>
      <x:c r="B171" s="214"/>
      <x:c r="C171" s="214"/>
      <x:c r="D171" s="214"/>
      <x:c r="E171" s="214"/>
      <x:c r="F171" s="214"/>
      <x:c r="G171" s="214"/>
      <x:c r="H171" s="214"/>
      <x:c r="I171" s="214"/>
      <x:c r="J171" s="214"/>
      <x:c r="K171" s="214"/>
      <x:c r="L171" s="214"/>
      <x:c r="M171" s="214"/>
      <x:c r="N171" s="214"/>
      <x:c r="O171" s="214"/>
    </x:row>
    <x:row r="172">
      <x:c r="A172" s="214"/>
      <x:c r="B172" s="214"/>
      <x:c r="C172" s="214"/>
      <x:c r="D172" s="214"/>
      <x:c r="E172" s="214"/>
      <x:c r="F172" s="214"/>
      <x:c r="G172" s="214"/>
      <x:c r="H172" s="214"/>
      <x:c r="I172" s="214"/>
      <x:c r="J172" s="214"/>
      <x:c r="K172" s="214"/>
      <x:c r="L172" s="214"/>
      <x:c r="M172" s="214"/>
      <x:c r="N172" s="214"/>
      <x:c r="O172" s="214"/>
    </x:row>
    <x:row r="173">
      <x:c r="A173" s="214"/>
      <x:c r="B173" s="214"/>
      <x:c r="C173" s="214"/>
      <x:c r="D173" s="214"/>
      <x:c r="E173" s="214"/>
      <x:c r="F173" s="214"/>
      <x:c r="G173" s="214"/>
      <x:c r="H173" s="214"/>
      <x:c r="I173" s="214"/>
      <x:c r="J173" s="214"/>
      <x:c r="K173" s="214"/>
      <x:c r="L173" s="214"/>
      <x:c r="M173" s="214"/>
      <x:c r="N173" s="214"/>
      <x:c r="O173" s="214"/>
    </x:row>
    <x:row r="174">
      <x:c r="A174" s="214"/>
      <x:c r="B174" s="214"/>
      <x:c r="C174" s="214"/>
      <x:c r="D174" s="214"/>
      <x:c r="E174" s="214"/>
      <x:c r="F174" s="214"/>
      <x:c r="G174" s="214"/>
      <x:c r="H174" s="214"/>
      <x:c r="I174" s="214"/>
      <x:c r="J174" s="214"/>
      <x:c r="K174" s="214"/>
      <x:c r="L174" s="214"/>
      <x:c r="M174" s="214"/>
      <x:c r="N174" s="214"/>
      <x:c r="O174" s="214"/>
    </x:row>
    <x:row r="175">
      <x:c r="A175" s="214"/>
      <x:c r="B175" s="214"/>
      <x:c r="C175" s="214"/>
      <x:c r="D175" s="214"/>
      <x:c r="E175" s="214"/>
      <x:c r="F175" s="214"/>
      <x:c r="G175" s="214"/>
      <x:c r="H175" s="214"/>
      <x:c r="I175" s="214"/>
      <x:c r="J175" s="214"/>
      <x:c r="K175" s="214"/>
      <x:c r="L175" s="214"/>
      <x:c r="M175" s="214"/>
      <x:c r="N175" s="214"/>
      <x:c r="O175" s="214"/>
    </x:row>
    <x:row r="176">
      <x:c r="A176" s="214"/>
      <x:c r="B176" s="214"/>
      <x:c r="C176" s="214"/>
      <x:c r="D176" s="214"/>
      <x:c r="E176" s="214"/>
      <x:c r="F176" s="214"/>
      <x:c r="G176" s="214"/>
      <x:c r="H176" s="214"/>
      <x:c r="I176" s="214"/>
      <x:c r="J176" s="214"/>
      <x:c r="K176" s="214"/>
      <x:c r="L176" s="214"/>
      <x:c r="M176" s="214"/>
      <x:c r="N176" s="214"/>
      <x:c r="O176" s="214"/>
    </x:row>
    <x:row r="177">
      <x:c r="A177" s="214"/>
      <x:c r="B177" s="214"/>
      <x:c r="C177" s="214"/>
      <x:c r="D177" s="214"/>
      <x:c r="E177" s="214"/>
      <x:c r="F177" s="214"/>
      <x:c r="G177" s="214"/>
      <x:c r="H177" s="214"/>
      <x:c r="I177" s="214"/>
      <x:c r="J177" s="214"/>
      <x:c r="K177" s="214"/>
      <x:c r="L177" s="214"/>
      <x:c r="M177" s="214"/>
      <x:c r="N177" s="214"/>
      <x:c r="O177" s="214"/>
    </x:row>
    <x:row r="178">
      <x:c r="A178" s="214"/>
      <x:c r="B178" s="214"/>
      <x:c r="C178" s="214"/>
      <x:c r="D178" s="214"/>
      <x:c r="E178" s="214"/>
      <x:c r="F178" s="214"/>
      <x:c r="G178" s="214"/>
      <x:c r="H178" s="214"/>
      <x:c r="I178" s="214"/>
      <x:c r="J178" s="214"/>
      <x:c r="K178" s="214"/>
      <x:c r="L178" s="214"/>
      <x:c r="M178" s="214"/>
      <x:c r="N178" s="214"/>
      <x:c r="O178" s="214"/>
    </x:row>
    <x:row r="179">
      <x:c r="A179" s="214"/>
      <x:c r="B179" s="214"/>
      <x:c r="C179" s="214"/>
      <x:c r="D179" s="214"/>
      <x:c r="E179" s="214"/>
      <x:c r="F179" s="214"/>
      <x:c r="G179" s="214"/>
      <x:c r="H179" s="214"/>
      <x:c r="I179" s="214"/>
      <x:c r="J179" s="214"/>
      <x:c r="K179" s="214"/>
      <x:c r="L179" s="214"/>
      <x:c r="M179" s="214"/>
      <x:c r="N179" s="214"/>
      <x:c r="O179" s="214"/>
    </x:row>
    <x:row r="180">
      <x:c r="A180" s="214"/>
      <x:c r="B180" s="214"/>
      <x:c r="C180" s="214"/>
      <x:c r="D180" s="214"/>
      <x:c r="E180" s="214"/>
      <x:c r="F180" s="214"/>
      <x:c r="G180" s="214"/>
      <x:c r="H180" s="214"/>
      <x:c r="I180" s="214"/>
      <x:c r="J180" s="214"/>
      <x:c r="K180" s="214"/>
      <x:c r="L180" s="214"/>
      <x:c r="M180" s="214"/>
      <x:c r="N180" s="214"/>
      <x:c r="O180" s="214"/>
    </x:row>
    <x:row r="181">
      <x:c r="A181" s="214"/>
      <x:c r="B181" s="214"/>
      <x:c r="C181" s="214"/>
      <x:c r="D181" s="214"/>
      <x:c r="E181" s="214"/>
      <x:c r="F181" s="214"/>
      <x:c r="G181" s="214"/>
      <x:c r="H181" s="214"/>
      <x:c r="I181" s="214"/>
      <x:c r="J181" s="214"/>
      <x:c r="K181" s="214"/>
      <x:c r="L181" s="214"/>
      <x:c r="M181" s="214"/>
      <x:c r="N181" s="214"/>
      <x:c r="O181" s="214"/>
    </x:row>
    <x:row r="182">
      <x:c r="A182" s="214"/>
      <x:c r="B182" s="214"/>
      <x:c r="C182" s="214"/>
      <x:c r="D182" s="214"/>
      <x:c r="E182" s="214"/>
      <x:c r="F182" s="214"/>
      <x:c r="G182" s="214"/>
      <x:c r="H182" s="214"/>
      <x:c r="I182" s="214"/>
      <x:c r="J182" s="214"/>
      <x:c r="K182" s="214"/>
      <x:c r="L182" s="214"/>
      <x:c r="M182" s="214"/>
      <x:c r="N182" s="214"/>
      <x:c r="O182" s="214"/>
    </x:row>
    <x:row r="183">
      <x:c r="A183" s="214"/>
      <x:c r="B183" s="214"/>
      <x:c r="C183" s="214"/>
      <x:c r="D183" s="214"/>
      <x:c r="E183" s="214"/>
      <x:c r="F183" s="214"/>
      <x:c r="G183" s="214"/>
      <x:c r="H183" s="214"/>
      <x:c r="I183" s="214"/>
      <x:c r="J183" s="214"/>
      <x:c r="K183" s="214"/>
      <x:c r="L183" s="214"/>
      <x:c r="M183" s="214"/>
      <x:c r="N183" s="214"/>
      <x:c r="O183" s="214"/>
    </x:row>
    <x:row r="184">
      <x:c r="A184" s="214"/>
      <x:c r="B184" s="214"/>
      <x:c r="C184" s="214"/>
      <x:c r="D184" s="214"/>
      <x:c r="E184" s="214"/>
      <x:c r="F184" s="214"/>
      <x:c r="G184" s="214"/>
      <x:c r="H184" s="214"/>
      <x:c r="I184" s="214"/>
      <x:c r="J184" s="214"/>
      <x:c r="K184" s="214"/>
      <x:c r="L184" s="214"/>
      <x:c r="M184" s="214"/>
      <x:c r="N184" s="214"/>
      <x:c r="O184" s="214"/>
    </x:row>
    <x:row r="185">
      <x:c r="A185" s="214"/>
      <x:c r="B185" s="214"/>
      <x:c r="C185" s="214"/>
      <x:c r="D185" s="214"/>
      <x:c r="E185" s="214"/>
      <x:c r="F185" s="214"/>
      <x:c r="G185" s="214"/>
      <x:c r="H185" s="214"/>
      <x:c r="I185" s="214"/>
      <x:c r="J185" s="214"/>
      <x:c r="K185" s="214"/>
      <x:c r="L185" s="214"/>
      <x:c r="M185" s="214"/>
      <x:c r="N185" s="214"/>
      <x:c r="O185" s="214"/>
    </x:row>
    <x:row r="186">
      <x:c r="A186" s="214"/>
      <x:c r="B186" s="214"/>
      <x:c r="C186" s="214"/>
      <x:c r="D186" s="214"/>
      <x:c r="E186" s="214"/>
      <x:c r="F186" s="214"/>
      <x:c r="G186" s="214"/>
      <x:c r="H186" s="214"/>
      <x:c r="I186" s="214"/>
      <x:c r="J186" s="214"/>
      <x:c r="K186" s="214"/>
      <x:c r="L186" s="214"/>
      <x:c r="M186" s="214"/>
      <x:c r="N186" s="214"/>
      <x:c r="O186" s="214"/>
    </x:row>
    <x:row r="187">
      <x:c r="A187" s="214"/>
      <x:c r="B187" s="214"/>
      <x:c r="C187" s="214"/>
      <x:c r="D187" s="214"/>
      <x:c r="E187" s="214"/>
      <x:c r="F187" s="214"/>
      <x:c r="G187" s="214"/>
      <x:c r="H187" s="214"/>
      <x:c r="I187" s="214"/>
      <x:c r="J187" s="214"/>
      <x:c r="K187" s="214"/>
      <x:c r="L187" s="214"/>
      <x:c r="M187" s="214"/>
      <x:c r="N187" s="214"/>
      <x:c r="O187" s="214"/>
    </x:row>
    <x:row r="188">
      <x:c r="A188" s="214"/>
      <x:c r="B188" s="214"/>
      <x:c r="C188" s="214"/>
      <x:c r="D188" s="214"/>
      <x:c r="E188" s="214"/>
      <x:c r="F188" s="214"/>
      <x:c r="G188" s="214"/>
      <x:c r="H188" s="214"/>
      <x:c r="I188" s="214"/>
      <x:c r="J188" s="214"/>
      <x:c r="K188" s="214"/>
      <x:c r="L188" s="214"/>
      <x:c r="M188" s="214"/>
      <x:c r="N188" s="214"/>
      <x:c r="O188" s="214"/>
    </x:row>
    <x:row r="189">
      <x:c r="A189" s="214"/>
      <x:c r="B189" s="214"/>
      <x:c r="C189" s="214"/>
      <x:c r="D189" s="214"/>
      <x:c r="E189" s="214"/>
      <x:c r="F189" s="214"/>
      <x:c r="G189" s="214"/>
      <x:c r="H189" s="214"/>
      <x:c r="I189" s="214"/>
      <x:c r="J189" s="214"/>
      <x:c r="K189" s="214"/>
      <x:c r="L189" s="214"/>
      <x:c r="M189" s="214"/>
      <x:c r="N189" s="214"/>
      <x:c r="O189" s="214"/>
    </x:row>
    <x:row r="190">
      <x:c r="A190" s="214"/>
      <x:c r="B190" s="214"/>
      <x:c r="C190" s="214"/>
      <x:c r="D190" s="214"/>
      <x:c r="E190" s="214"/>
      <x:c r="F190" s="214"/>
      <x:c r="G190" s="214"/>
      <x:c r="H190" s="214"/>
      <x:c r="I190" s="214"/>
      <x:c r="J190" s="214"/>
      <x:c r="K190" s="214"/>
      <x:c r="L190" s="214"/>
      <x:c r="M190" s="214"/>
      <x:c r="N190" s="214"/>
      <x:c r="O190" s="214"/>
    </x:row>
    <x:row r="191">
      <x:c r="A191" s="214"/>
      <x:c r="B191" s="214"/>
      <x:c r="C191" s="214"/>
      <x:c r="D191" s="214"/>
      <x:c r="E191" s="214"/>
      <x:c r="F191" s="214"/>
      <x:c r="G191" s="214"/>
      <x:c r="H191" s="214"/>
      <x:c r="I191" s="214"/>
      <x:c r="J191" s="214"/>
      <x:c r="K191" s="214"/>
      <x:c r="L191" s="214"/>
      <x:c r="M191" s="214"/>
      <x:c r="N191" s="214"/>
      <x:c r="O191" s="214"/>
    </x:row>
    <x:row r="192">
      <x:c r="A192" s="214"/>
      <x:c r="B192" s="214"/>
      <x:c r="C192" s="214"/>
      <x:c r="D192" s="214"/>
      <x:c r="E192" s="214"/>
      <x:c r="F192" s="214"/>
      <x:c r="G192" s="214"/>
      <x:c r="H192" s="214"/>
      <x:c r="I192" s="214"/>
      <x:c r="J192" s="214"/>
      <x:c r="K192" s="214"/>
      <x:c r="L192" s="214"/>
      <x:c r="M192" s="214"/>
      <x:c r="N192" s="214"/>
      <x:c r="O192" s="214"/>
    </x:row>
    <x:row r="193">
      <x:c r="A193" s="214"/>
      <x:c r="B193" s="214"/>
      <x:c r="C193" s="214"/>
      <x:c r="D193" s="214"/>
      <x:c r="E193" s="214"/>
      <x:c r="F193" s="214"/>
      <x:c r="G193" s="214"/>
      <x:c r="H193" s="214"/>
      <x:c r="I193" s="214"/>
      <x:c r="J193" s="214"/>
      <x:c r="K193" s="214"/>
      <x:c r="L193" s="214"/>
      <x:c r="M193" s="214"/>
      <x:c r="N193" s="214"/>
      <x:c r="O193" s="214"/>
    </x:row>
    <x:row r="194">
      <x:c r="A194" s="214"/>
      <x:c r="B194" s="214"/>
      <x:c r="C194" s="214"/>
      <x:c r="D194" s="214"/>
      <x:c r="E194" s="214"/>
      <x:c r="F194" s="214"/>
      <x:c r="G194" s="214"/>
      <x:c r="H194" s="214"/>
      <x:c r="I194" s="214"/>
      <x:c r="J194" s="214"/>
      <x:c r="K194" s="214"/>
      <x:c r="L194" s="214"/>
      <x:c r="M194" s="214"/>
      <x:c r="N194" s="214"/>
      <x:c r="O194" s="214"/>
    </x:row>
    <x:row r="195">
      <x:c r="A195" s="214"/>
      <x:c r="B195" s="214"/>
      <x:c r="C195" s="214"/>
      <x:c r="D195" s="214"/>
      <x:c r="E195" s="214"/>
      <x:c r="F195" s="214"/>
      <x:c r="G195" s="214"/>
      <x:c r="H195" s="214"/>
      <x:c r="I195" s="214"/>
      <x:c r="J195" s="214"/>
      <x:c r="K195" s="214"/>
      <x:c r="L195" s="214"/>
      <x:c r="M195" s="214"/>
      <x:c r="N195" s="214"/>
      <x:c r="O195" s="214"/>
    </x:row>
    <x:row r="196">
      <x:c r="A196" s="214"/>
      <x:c r="B196" s="214"/>
      <x:c r="C196" s="214"/>
      <x:c r="D196" s="214"/>
      <x:c r="E196" s="214"/>
      <x:c r="F196" s="214"/>
      <x:c r="G196" s="214"/>
      <x:c r="H196" s="214"/>
      <x:c r="I196" s="214"/>
      <x:c r="J196" s="214"/>
      <x:c r="K196" s="214"/>
      <x:c r="L196" s="214"/>
      <x:c r="M196" s="214"/>
      <x:c r="N196" s="214"/>
      <x:c r="O196" s="214"/>
    </x:row>
    <x:row r="197">
      <x:c r="A197" s="214"/>
      <x:c r="B197" s="214"/>
      <x:c r="C197" s="214"/>
      <x:c r="D197" s="214"/>
      <x:c r="E197" s="214"/>
      <x:c r="F197" s="214"/>
      <x:c r="G197" s="214"/>
      <x:c r="H197" s="214"/>
      <x:c r="I197" s="214"/>
      <x:c r="J197" s="214"/>
      <x:c r="K197" s="214"/>
      <x:c r="L197" s="214"/>
      <x:c r="M197" s="214"/>
      <x:c r="N197" s="214"/>
      <x:c r="O197" s="214"/>
    </x:row>
    <x:row r="198">
      <x:c r="A198" s="214"/>
      <x:c r="B198" s="214"/>
      <x:c r="C198" s="214"/>
      <x:c r="D198" s="214"/>
      <x:c r="E198" s="214"/>
      <x:c r="F198" s="214"/>
      <x:c r="G198" s="214"/>
      <x:c r="H198" s="214"/>
      <x:c r="I198" s="214"/>
      <x:c r="J198" s="214"/>
      <x:c r="K198" s="214"/>
      <x:c r="L198" s="214"/>
      <x:c r="M198" s="214"/>
      <x:c r="N198" s="214"/>
      <x:c r="O198" s="214"/>
    </x:row>
    <x:row r="199">
      <x:c r="A199" s="214"/>
      <x:c r="B199" s="214"/>
      <x:c r="C199" s="214"/>
      <x:c r="D199" s="214"/>
      <x:c r="E199" s="214"/>
      <x:c r="F199" s="214"/>
      <x:c r="G199" s="214"/>
      <x:c r="H199" s="214"/>
      <x:c r="I199" s="214"/>
      <x:c r="J199" s="214"/>
      <x:c r="K199" s="214"/>
      <x:c r="L199" s="214"/>
      <x:c r="M199" s="214"/>
      <x:c r="N199" s="214"/>
      <x:c r="O199" s="214"/>
    </x:row>
    <x:row r="200">
      <x:c r="A200" s="214"/>
      <x:c r="B200" s="214"/>
      <x:c r="C200" s="214"/>
      <x:c r="D200" s="214"/>
      <x:c r="E200" s="214"/>
      <x:c r="F200" s="214"/>
      <x:c r="G200" s="214"/>
      <x:c r="H200" s="214"/>
      <x:c r="I200" s="214"/>
      <x:c r="J200" s="214"/>
      <x:c r="K200" s="214"/>
      <x:c r="L200" s="214"/>
      <x:c r="M200" s="214"/>
      <x:c r="N200" s="214"/>
      <x:c r="O200" s="214"/>
    </x:row>
    <x:row r="201">
      <x:c r="A201" s="214"/>
      <x:c r="B201" s="214"/>
      <x:c r="C201" s="214"/>
      <x:c r="D201" s="214"/>
      <x:c r="E201" s="214"/>
      <x:c r="F201" s="214"/>
      <x:c r="G201" s="214"/>
      <x:c r="H201" s="214"/>
      <x:c r="I201" s="214"/>
      <x:c r="J201" s="214"/>
      <x:c r="K201" s="214"/>
      <x:c r="L201" s="214"/>
      <x:c r="M201" s="214"/>
      <x:c r="N201" s="214"/>
      <x:c r="O201" s="214"/>
    </x:row>
    <x:row r="202">
      <x:c r="A202" s="214"/>
      <x:c r="B202" s="214"/>
      <x:c r="C202" s="214"/>
      <x:c r="D202" s="214"/>
      <x:c r="E202" s="214"/>
      <x:c r="F202" s="214"/>
      <x:c r="G202" s="214"/>
      <x:c r="H202" s="214"/>
      <x:c r="I202" s="214"/>
      <x:c r="J202" s="214"/>
      <x:c r="K202" s="214"/>
      <x:c r="L202" s="214"/>
      <x:c r="M202" s="214"/>
      <x:c r="N202" s="214"/>
      <x:c r="O202" s="214"/>
    </x:row>
    <x:row r="203">
      <x:c r="A203" s="214"/>
      <x:c r="B203" s="214"/>
      <x:c r="C203" s="214"/>
      <x:c r="D203" s="214"/>
      <x:c r="E203" s="214"/>
      <x:c r="F203" s="214"/>
      <x:c r="G203" s="214"/>
      <x:c r="H203" s="214"/>
      <x:c r="I203" s="214"/>
      <x:c r="J203" s="214"/>
      <x:c r="K203" s="214"/>
      <x:c r="L203" s="214"/>
      <x:c r="M203" s="214"/>
      <x:c r="N203" s="214"/>
      <x:c r="O203" s="214"/>
    </x:row>
    <x:row r="204">
      <x:c r="A204" s="214"/>
      <x:c r="B204" s="214"/>
      <x:c r="C204" s="214"/>
      <x:c r="D204" s="214"/>
      <x:c r="E204" s="214"/>
      <x:c r="F204" s="214"/>
      <x:c r="G204" s="214"/>
      <x:c r="H204" s="214"/>
      <x:c r="I204" s="214"/>
      <x:c r="J204" s="214"/>
      <x:c r="K204" s="214"/>
      <x:c r="L204" s="214"/>
      <x:c r="M204" s="214"/>
      <x:c r="N204" s="214"/>
      <x:c r="O204" s="214"/>
    </x:row>
    <x:row r="205">
      <x:c r="A205" s="214"/>
      <x:c r="B205" s="214"/>
      <x:c r="C205" s="214"/>
      <x:c r="D205" s="214"/>
      <x:c r="E205" s="214"/>
      <x:c r="F205" s="214"/>
      <x:c r="G205" s="214"/>
      <x:c r="H205" s="214"/>
      <x:c r="I205" s="214"/>
      <x:c r="J205" s="214"/>
      <x:c r="K205" s="214"/>
      <x:c r="L205" s="214"/>
      <x:c r="M205" s="214"/>
      <x:c r="N205" s="214"/>
      <x:c r="O205" s="214"/>
    </x:row>
    <x:row r="206">
      <x:c r="A206" s="214"/>
      <x:c r="B206" s="214"/>
      <x:c r="C206" s="214"/>
      <x:c r="D206" s="214"/>
      <x:c r="E206" s="214"/>
      <x:c r="F206" s="214"/>
      <x:c r="G206" s="214"/>
      <x:c r="H206" s="214"/>
      <x:c r="I206" s="214"/>
      <x:c r="J206" s="214"/>
      <x:c r="K206" s="214"/>
      <x:c r="L206" s="214"/>
      <x:c r="M206" s="214"/>
      <x:c r="N206" s="214"/>
      <x:c r="O206" s="214"/>
    </x:row>
    <x:row r="207">
      <x:c r="A207" s="214"/>
      <x:c r="B207" s="214"/>
      <x:c r="C207" s="214"/>
      <x:c r="D207" s="214"/>
      <x:c r="E207" s="214"/>
      <x:c r="F207" s="214"/>
      <x:c r="G207" s="214"/>
      <x:c r="H207" s="214"/>
      <x:c r="I207" s="214"/>
      <x:c r="J207" s="214"/>
      <x:c r="K207" s="214"/>
      <x:c r="L207" s="214"/>
      <x:c r="M207" s="214"/>
      <x:c r="N207" s="214"/>
      <x:c r="O207" s="214"/>
    </x:row>
    <x:row r="208">
      <x:c r="A208" s="214"/>
      <x:c r="B208" s="214"/>
      <x:c r="C208" s="214"/>
      <x:c r="D208" s="214"/>
      <x:c r="E208" s="214"/>
      <x:c r="F208" s="214"/>
      <x:c r="G208" s="214"/>
      <x:c r="H208" s="214"/>
      <x:c r="I208" s="214"/>
      <x:c r="J208" s="214"/>
      <x:c r="K208" s="214"/>
      <x:c r="L208" s="214"/>
      <x:c r="M208" s="214"/>
      <x:c r="N208" s="214"/>
      <x:c r="O208" s="214"/>
    </x:row>
    <x:row r="209">
      <x:c r="A209" s="214"/>
      <x:c r="B209" s="214"/>
      <x:c r="C209" s="214"/>
      <x:c r="D209" s="214"/>
      <x:c r="E209" s="214"/>
      <x:c r="F209" s="214"/>
      <x:c r="G209" s="214"/>
      <x:c r="H209" s="214"/>
      <x:c r="I209" s="214"/>
      <x:c r="J209" s="214"/>
      <x:c r="K209" s="214"/>
      <x:c r="L209" s="214"/>
      <x:c r="M209" s="214"/>
      <x:c r="N209" s="214"/>
      <x:c r="O209" s="214"/>
    </x:row>
    <x:row r="210">
      <x:c r="A210" s="214"/>
      <x:c r="B210" s="214"/>
      <x:c r="C210" s="214"/>
      <x:c r="D210" s="214"/>
      <x:c r="E210" s="214"/>
      <x:c r="F210" s="214"/>
      <x:c r="G210" s="214"/>
      <x:c r="H210" s="214"/>
      <x:c r="I210" s="214"/>
      <x:c r="J210" s="214"/>
      <x:c r="K210" s="214"/>
      <x:c r="L210" s="214"/>
      <x:c r="M210" s="214"/>
      <x:c r="N210" s="214"/>
      <x:c r="O210" s="214"/>
    </x:row>
    <x:row r="211">
      <x:c r="A211" s="214"/>
      <x:c r="B211" s="214"/>
      <x:c r="C211" s="214"/>
      <x:c r="D211" s="214"/>
      <x:c r="E211" s="214"/>
      <x:c r="F211" s="214"/>
      <x:c r="G211" s="214"/>
      <x:c r="H211" s="214"/>
      <x:c r="I211" s="214"/>
      <x:c r="J211" s="214"/>
      <x:c r="K211" s="214"/>
      <x:c r="L211" s="214"/>
      <x:c r="M211" s="214"/>
      <x:c r="N211" s="214"/>
      <x:c r="O211" s="214"/>
    </x:row>
    <x:row r="212">
      <x:c r="A212" s="214"/>
      <x:c r="B212" s="214"/>
      <x:c r="C212" s="214"/>
      <x:c r="D212" s="214"/>
      <x:c r="E212" s="214"/>
      <x:c r="F212" s="214"/>
      <x:c r="G212" s="214"/>
      <x:c r="H212" s="214"/>
      <x:c r="I212" s="214"/>
      <x:c r="J212" s="214"/>
      <x:c r="K212" s="214"/>
      <x:c r="L212" s="214"/>
      <x:c r="M212" s="214"/>
      <x:c r="N212" s="214"/>
      <x:c r="O212" s="214"/>
    </x:row>
    <x:row r="213">
      <x:c r="A213" s="214"/>
      <x:c r="B213" s="214"/>
      <x:c r="C213" s="214"/>
      <x:c r="D213" s="214"/>
      <x:c r="E213" s="214"/>
      <x:c r="F213" s="214"/>
      <x:c r="G213" s="214"/>
      <x:c r="H213" s="214"/>
      <x:c r="I213" s="214"/>
      <x:c r="J213" s="214"/>
      <x:c r="K213" s="214"/>
      <x:c r="L213" s="214"/>
      <x:c r="M213" s="214"/>
      <x:c r="N213" s="214"/>
      <x:c r="O213" s="214"/>
    </x:row>
    <x:row r="214">
      <x:c r="A214" s="214"/>
      <x:c r="B214" s="214"/>
      <x:c r="C214" s="214"/>
      <x:c r="D214" s="214"/>
      <x:c r="E214" s="214"/>
      <x:c r="F214" s="214"/>
      <x:c r="G214" s="214"/>
      <x:c r="H214" s="214"/>
      <x:c r="I214" s="214"/>
      <x:c r="J214" s="214"/>
      <x:c r="K214" s="214"/>
      <x:c r="L214" s="214"/>
      <x:c r="M214" s="214"/>
      <x:c r="N214" s="214"/>
      <x:c r="O214" s="214"/>
    </x:row>
    <x:row r="215">
      <x:c r="A215" s="214"/>
      <x:c r="B215" s="214"/>
      <x:c r="C215" s="214"/>
      <x:c r="D215" s="214"/>
      <x:c r="E215" s="214"/>
      <x:c r="F215" s="214"/>
      <x:c r="G215" s="214"/>
      <x:c r="H215" s="214"/>
      <x:c r="I215" s="214"/>
      <x:c r="J215" s="214"/>
      <x:c r="K215" s="214"/>
      <x:c r="L215" s="214"/>
      <x:c r="M215" s="214"/>
      <x:c r="N215" s="214"/>
      <x:c r="O215" s="214"/>
    </x:row>
    <x:row r="216">
      <x:c r="A216" s="214"/>
      <x:c r="B216" s="214"/>
      <x:c r="C216" s="214"/>
      <x:c r="D216" s="214"/>
      <x:c r="E216" s="214"/>
      <x:c r="F216" s="214"/>
      <x:c r="G216" s="214"/>
      <x:c r="H216" s="214"/>
      <x:c r="I216" s="214"/>
      <x:c r="J216" s="214"/>
      <x:c r="K216" s="214"/>
      <x:c r="L216" s="214"/>
      <x:c r="M216" s="214"/>
      <x:c r="N216" s="214"/>
      <x:c r="O216" s="214"/>
    </x:row>
    <x:row r="217">
      <x:c r="A217" s="214"/>
      <x:c r="B217" s="214"/>
      <x:c r="C217" s="214"/>
      <x:c r="D217" s="214"/>
      <x:c r="E217" s="214"/>
      <x:c r="F217" s="214"/>
      <x:c r="G217" s="214"/>
      <x:c r="H217" s="214"/>
      <x:c r="I217" s="214"/>
      <x:c r="J217" s="214"/>
      <x:c r="K217" s="214"/>
      <x:c r="L217" s="214"/>
      <x:c r="M217" s="214"/>
      <x:c r="N217" s="214"/>
      <x:c r="O217" s="214"/>
    </x:row>
    <x:row r="218">
      <x:c r="A218" s="214"/>
      <x:c r="B218" s="214"/>
      <x:c r="C218" s="214"/>
      <x:c r="D218" s="214"/>
      <x:c r="E218" s="214"/>
      <x:c r="F218" s="214"/>
      <x:c r="G218" s="214"/>
      <x:c r="H218" s="214"/>
      <x:c r="I218" s="214"/>
      <x:c r="J218" s="214"/>
      <x:c r="K218" s="214"/>
      <x:c r="L218" s="214"/>
      <x:c r="M218" s="214"/>
      <x:c r="N218" s="214"/>
      <x:c r="O218" s="214"/>
    </x:row>
    <x:row r="219">
      <x:c r="A219" s="214"/>
      <x:c r="B219" s="214"/>
      <x:c r="C219" s="214"/>
      <x:c r="D219" s="214"/>
      <x:c r="E219" s="214"/>
      <x:c r="F219" s="214"/>
      <x:c r="G219" s="214"/>
      <x:c r="H219" s="214"/>
      <x:c r="I219" s="214"/>
      <x:c r="J219" s="214"/>
      <x:c r="K219" s="214"/>
      <x:c r="L219" s="214"/>
      <x:c r="M219" s="214"/>
      <x:c r="N219" s="214"/>
      <x:c r="O219" s="214"/>
    </x:row>
    <x:row r="220">
      <x:c r="A220" s="214"/>
      <x:c r="B220" s="214"/>
      <x:c r="C220" s="214"/>
      <x:c r="D220" s="214"/>
      <x:c r="E220" s="214"/>
      <x:c r="F220" s="214"/>
      <x:c r="G220" s="214"/>
      <x:c r="H220" s="214"/>
      <x:c r="I220" s="214"/>
      <x:c r="J220" s="214"/>
      <x:c r="K220" s="214"/>
      <x:c r="L220" s="214"/>
      <x:c r="M220" s="214"/>
      <x:c r="N220" s="214"/>
      <x:c r="O220" s="214"/>
    </x:row>
  </x:sheetData>
  <x:mergeCells>
    <x:mergeCell ref="A1:F2"/>
    <x:mergeCell ref="S3:X4"/>
    <x:mergeCell ref="S5:X6"/>
    <x:mergeCell ref="A3:F4"/>
    <x:mergeCell ref="A5:F6"/>
    <x:mergeCell ref="A49:F49"/>
    <x:mergeCell ref="A50:B50"/>
    <x:mergeCell ref="D50:J50"/>
    <x:mergeCell ref="A51:B51"/>
    <x:mergeCell ref="D51:J51"/>
    <x:mergeCell ref="A52:B52"/>
    <x:mergeCell ref="D52:J52"/>
    <x:mergeCell ref="A53:B53"/>
    <x:mergeCell ref="D53:J53"/>
    <x:mergeCell ref="A54:B54"/>
    <x:mergeCell ref="D54:J54"/>
    <x:mergeCell ref="A55:B55"/>
    <x:mergeCell ref="D55:J55"/>
    <x:mergeCell ref="A56:B56"/>
    <x:mergeCell ref="D56:J56"/>
    <x:mergeCell ref="A57:B57"/>
    <x:mergeCell ref="D57:J57"/>
    <x:mergeCell ref="A58:B58"/>
    <x:mergeCell ref="D58:J58"/>
    <x:mergeCell ref="A59:B59"/>
    <x:mergeCell ref="D59:J59"/>
    <x:mergeCell ref="A60:B60"/>
    <x:mergeCell ref="D60:J60"/>
    <x:mergeCell ref="A61:B61"/>
    <x:mergeCell ref="D61:J61"/>
    <x:mergeCell ref="A62:B62"/>
    <x:mergeCell ref="D62:J62"/>
    <x:mergeCell ref="A63:B63"/>
    <x:mergeCell ref="D63:J63"/>
    <x:mergeCell ref="A64:B64"/>
    <x:mergeCell ref="D64:J64"/>
    <x:mergeCell ref="A65:B65"/>
    <x:mergeCell ref="D65:J65"/>
    <x:mergeCell ref="A66:B66"/>
    <x:mergeCell ref="D66:J66"/>
    <x:mergeCell ref="A67:B67"/>
    <x:mergeCell ref="D67:J67"/>
    <x:mergeCell ref="A68:B68"/>
    <x:mergeCell ref="D68:J68"/>
    <x:mergeCell ref="A69:B69"/>
    <x:mergeCell ref="D69:J69"/>
    <x:mergeCell ref="A70:B70"/>
    <x:mergeCell ref="D70:J70"/>
    <x:mergeCell ref="A71:B71"/>
    <x:mergeCell ref="D71:J71"/>
    <x:mergeCell ref="A72:B72"/>
    <x:mergeCell ref="D72:J72"/>
    <x:mergeCell ref="A73:B73"/>
    <x:mergeCell ref="D73:J73"/>
    <x:mergeCell ref="A74:B74"/>
    <x:mergeCell ref="D74:J74"/>
    <x:mergeCell ref="A75:B75"/>
    <x:mergeCell ref="D75:J75"/>
    <x:mergeCell ref="A76:B76"/>
    <x:mergeCell ref="D76:J76"/>
    <x:mergeCell ref="A77:B77"/>
    <x:mergeCell ref="D77:J77"/>
    <x:mergeCell ref="A78:B78"/>
    <x:mergeCell ref="D78:J78"/>
    <x:mergeCell ref="A79:B79"/>
    <x:mergeCell ref="D79:J79"/>
    <x:mergeCell ref="A82:F82"/>
    <x:mergeCell ref="A83:F83"/>
    <x:mergeCell ref="H83:J83"/>
    <x:mergeCell ref="A84:F84"/>
    <x:mergeCell ref="H84:J84"/>
    <x:mergeCell ref="A85:F85"/>
    <x:mergeCell ref="H85:J85"/>
    <x:mergeCell ref="A86:F86"/>
    <x:mergeCell ref="H86:J86"/>
    <x:mergeCell ref="A87:F87"/>
    <x:mergeCell ref="H87:J87"/>
    <x:mergeCell ref="A88:F88"/>
    <x:mergeCell ref="H88:J88"/>
    <x:mergeCell ref="A89:F89"/>
    <x:mergeCell ref="H89:J89"/>
    <x:mergeCell ref="A90:F90"/>
    <x:mergeCell ref="H90:J90"/>
    <x:mergeCell ref="A91:F91"/>
    <x:mergeCell ref="H91:J91"/>
    <x:mergeCell ref="A92:F92"/>
    <x:mergeCell ref="H92:J92"/>
    <x:mergeCell ref="A93:F93"/>
    <x:mergeCell ref="H93:J93"/>
    <x:mergeCell ref="A94:F94"/>
    <x:mergeCell ref="H94:J94"/>
  </x:mergeCells>
  <x:hyperlinks>
    <x:hyperlink xmlns:r="http://schemas.openxmlformats.org/officeDocument/2006/relationships" ref="N9" r:id="R406f27294af64bbc"/>
    <x:hyperlink xmlns:r="http://schemas.openxmlformats.org/officeDocument/2006/relationships" ref="N10" r:id="R0ebefdc19db14e44"/>
    <x:hyperlink xmlns:r="http://schemas.openxmlformats.org/officeDocument/2006/relationships" ref="N11" r:id="Rc74707711eef49c8"/>
    <x:hyperlink xmlns:r="http://schemas.openxmlformats.org/officeDocument/2006/relationships" ref="N12" r:id="R3636b7ee2f7b4f85"/>
    <x:hyperlink xmlns:r="http://schemas.openxmlformats.org/officeDocument/2006/relationships" ref="N13" r:id="R69a2be61e5cb43c3"/>
    <x:hyperlink xmlns:r="http://schemas.openxmlformats.org/officeDocument/2006/relationships" ref="N14" r:id="Rd2e440520d604ac2"/>
    <x:hyperlink xmlns:r="http://schemas.openxmlformats.org/officeDocument/2006/relationships" ref="N15" r:id="Rbfaca2dcab774323"/>
    <x:hyperlink xmlns:r="http://schemas.openxmlformats.org/officeDocument/2006/relationships" ref="N16" r:id="R9a17e1bc1bc348ca"/>
    <x:hyperlink xmlns:r="http://schemas.openxmlformats.org/officeDocument/2006/relationships" ref="N17" r:id="R5309389c6ba44257"/>
    <x:hyperlink xmlns:r="http://schemas.openxmlformats.org/officeDocument/2006/relationships" ref="N18" r:id="Rf706dc2f7bd6409a"/>
    <x:hyperlink xmlns:r="http://schemas.openxmlformats.org/officeDocument/2006/relationships" ref="N19" r:id="Rcd32be452d8e49cb"/>
    <x:hyperlink xmlns:r="http://schemas.openxmlformats.org/officeDocument/2006/relationships" ref="N20" r:id="R84125fbc6b464109"/>
    <x:hyperlink xmlns:r="http://schemas.openxmlformats.org/officeDocument/2006/relationships" ref="N21" r:id="R0c26ca82d5284768"/>
    <x:hyperlink xmlns:r="http://schemas.openxmlformats.org/officeDocument/2006/relationships" ref="N22" r:id="Rb8b1dac2b9484d7a"/>
    <x:hyperlink xmlns:r="http://schemas.openxmlformats.org/officeDocument/2006/relationships" ref="N23" r:id="R3d9457cc1cc742f8"/>
    <x:hyperlink xmlns:r="http://schemas.openxmlformats.org/officeDocument/2006/relationships" ref="N24" r:id="R124970d3f69445fe"/>
    <x:hyperlink xmlns:r="http://schemas.openxmlformats.org/officeDocument/2006/relationships" ref="N25" r:id="Ra876b3a399e84c75"/>
    <x:hyperlink xmlns:r="http://schemas.openxmlformats.org/officeDocument/2006/relationships" ref="N26" r:id="R23194d78283544ba"/>
    <x:hyperlink xmlns:r="http://schemas.openxmlformats.org/officeDocument/2006/relationships" ref="N27" r:id="Rc61426fabadd4fda"/>
    <x:hyperlink xmlns:r="http://schemas.openxmlformats.org/officeDocument/2006/relationships" ref="N28" r:id="R8911a018c05749dd"/>
    <x:hyperlink xmlns:r="http://schemas.openxmlformats.org/officeDocument/2006/relationships" ref="N29" r:id="R8d566f85d8924d6d"/>
    <x:hyperlink xmlns:r="http://schemas.openxmlformats.org/officeDocument/2006/relationships" ref="N30" r:id="Rc1363b22c8514a24"/>
    <x:hyperlink xmlns:r="http://schemas.openxmlformats.org/officeDocument/2006/relationships" ref="N31" r:id="R53de88a96866491f"/>
    <x:hyperlink xmlns:r="http://schemas.openxmlformats.org/officeDocument/2006/relationships" ref="N32" r:id="Re0e3a3c9877b446b"/>
    <x:hyperlink xmlns:r="http://schemas.openxmlformats.org/officeDocument/2006/relationships" ref="N33" r:id="R8d0260d6f2e64649"/>
    <x:hyperlink xmlns:r="http://schemas.openxmlformats.org/officeDocument/2006/relationships" ref="N34" r:id="R60d4903046e44923"/>
    <x:hyperlink xmlns:r="http://schemas.openxmlformats.org/officeDocument/2006/relationships" ref="N35" r:id="R5c7ee27e53b34bfa"/>
    <x:hyperlink xmlns:r="http://schemas.openxmlformats.org/officeDocument/2006/relationships" ref="N36" r:id="R96b8d66857bb4b4f"/>
    <x:hyperlink xmlns:r="http://schemas.openxmlformats.org/officeDocument/2006/relationships" ref="N37" r:id="Rc9a8f11c7f874a62"/>
    <x:hyperlink xmlns:r="http://schemas.openxmlformats.org/officeDocument/2006/relationships" ref="N38" r:id="Rad44f7e8f5bb4573"/>
    <x:hyperlink xmlns:r="http://schemas.openxmlformats.org/officeDocument/2006/relationships" ref="N39" r:id="R0bcea3f4a1844732"/>
    <x:hyperlink xmlns:r="http://schemas.openxmlformats.org/officeDocument/2006/relationships" ref="N40" r:id="Rcd11db1c22f64df2"/>
    <x:hyperlink xmlns:r="http://schemas.openxmlformats.org/officeDocument/2006/relationships" ref="N41" r:id="Re3a2b67fae5b406c"/>
    <x:hyperlink xmlns:r="http://schemas.openxmlformats.org/officeDocument/2006/relationships" ref="N42" r:id="Re4a8ad91a5b54b06"/>
    <x:hyperlink xmlns:r="http://schemas.openxmlformats.org/officeDocument/2006/relationships" ref="N43" r:id="Re52ab6a10cda413a"/>
    <x:hyperlink xmlns:r="http://schemas.openxmlformats.org/officeDocument/2006/relationships" ref="N44" r:id="R6c9d3b38d5da458e"/>
    <x:hyperlink xmlns:r="http://schemas.openxmlformats.org/officeDocument/2006/relationships" ref="N45" r:id="R2ec42aac87794d5e"/>
    <x:hyperlink xmlns:r="http://schemas.openxmlformats.org/officeDocument/2006/relationships" ref="N46" r:id="R6b647281e7064c52"/>
    <x:hyperlink xmlns:r="http://schemas.openxmlformats.org/officeDocument/2006/relationships" ref="H83" r:id="R3006853777f34bf9"/>
    <x:hyperlink xmlns:r="http://schemas.openxmlformats.org/officeDocument/2006/relationships" ref="I83" r:id="R3c44916a7b49403c"/>
    <x:hyperlink xmlns:r="http://schemas.openxmlformats.org/officeDocument/2006/relationships" ref="J83" r:id="R355aa4f5eb9142dc"/>
    <x:hyperlink xmlns:r="http://schemas.openxmlformats.org/officeDocument/2006/relationships" ref="H84" r:id="R6aac9ae22530488d"/>
    <x:hyperlink xmlns:r="http://schemas.openxmlformats.org/officeDocument/2006/relationships" ref="I84" r:id="Rdf48a3e383134163"/>
    <x:hyperlink xmlns:r="http://schemas.openxmlformats.org/officeDocument/2006/relationships" ref="J84" r:id="Rb2f71fd739684b78"/>
    <x:hyperlink xmlns:r="http://schemas.openxmlformats.org/officeDocument/2006/relationships" ref="H85" r:id="R5c32b590455c4538"/>
    <x:hyperlink xmlns:r="http://schemas.openxmlformats.org/officeDocument/2006/relationships" ref="I85" r:id="Ra26c908772bf42de"/>
    <x:hyperlink xmlns:r="http://schemas.openxmlformats.org/officeDocument/2006/relationships" ref="J85" r:id="Rc2681b05d2fd4b86"/>
    <x:hyperlink xmlns:r="http://schemas.openxmlformats.org/officeDocument/2006/relationships" ref="H86" r:id="Rb4bdecdfe5424fb8"/>
    <x:hyperlink xmlns:r="http://schemas.openxmlformats.org/officeDocument/2006/relationships" ref="I86" r:id="Rcd447420788048b9"/>
    <x:hyperlink xmlns:r="http://schemas.openxmlformats.org/officeDocument/2006/relationships" ref="J86" r:id="R89a2d4242b31402b"/>
    <x:hyperlink xmlns:r="http://schemas.openxmlformats.org/officeDocument/2006/relationships" ref="H87" r:id="R0dd75e5641c541b4"/>
    <x:hyperlink xmlns:r="http://schemas.openxmlformats.org/officeDocument/2006/relationships" ref="I87" r:id="R22ddd8e6365d4085"/>
    <x:hyperlink xmlns:r="http://schemas.openxmlformats.org/officeDocument/2006/relationships" ref="J87" r:id="R83c95056d0684453"/>
    <x:hyperlink xmlns:r="http://schemas.openxmlformats.org/officeDocument/2006/relationships" ref="H88" r:id="Rb904c62c835b40a9"/>
    <x:hyperlink xmlns:r="http://schemas.openxmlformats.org/officeDocument/2006/relationships" ref="I88" r:id="Rc16ff2802818451f"/>
    <x:hyperlink xmlns:r="http://schemas.openxmlformats.org/officeDocument/2006/relationships" ref="J88" r:id="R1d302a89ef2442c5"/>
    <x:hyperlink xmlns:r="http://schemas.openxmlformats.org/officeDocument/2006/relationships" ref="H89" r:id="Rbe55b05f0a96474b"/>
    <x:hyperlink xmlns:r="http://schemas.openxmlformats.org/officeDocument/2006/relationships" ref="I89" r:id="Rc7d4d2a005354c12"/>
    <x:hyperlink xmlns:r="http://schemas.openxmlformats.org/officeDocument/2006/relationships" ref="J89" r:id="Rfeb6b6c94dc34363"/>
    <x:hyperlink xmlns:r="http://schemas.openxmlformats.org/officeDocument/2006/relationships" ref="H90" r:id="Rba4e5e9d3fce463d"/>
    <x:hyperlink xmlns:r="http://schemas.openxmlformats.org/officeDocument/2006/relationships" ref="I90" r:id="R64c1e9e2c56c4885"/>
    <x:hyperlink xmlns:r="http://schemas.openxmlformats.org/officeDocument/2006/relationships" ref="J90" r:id="Rf37eb03291504042"/>
    <x:hyperlink xmlns:r="http://schemas.openxmlformats.org/officeDocument/2006/relationships" ref="H91" r:id="Rf43a928e182c4c6f"/>
    <x:hyperlink xmlns:r="http://schemas.openxmlformats.org/officeDocument/2006/relationships" ref="I91" r:id="R70c411132f9d4f6b"/>
    <x:hyperlink xmlns:r="http://schemas.openxmlformats.org/officeDocument/2006/relationships" ref="J91" r:id="Rd5bde3153b324ee1"/>
    <x:hyperlink xmlns:r="http://schemas.openxmlformats.org/officeDocument/2006/relationships" ref="H92" r:id="R6f4360495435487b"/>
    <x:hyperlink xmlns:r="http://schemas.openxmlformats.org/officeDocument/2006/relationships" ref="I92" r:id="R6a2bf8a8ec064908"/>
    <x:hyperlink xmlns:r="http://schemas.openxmlformats.org/officeDocument/2006/relationships" ref="J92" r:id="Rb47d8bb8f8d7404e"/>
    <x:hyperlink xmlns:r="http://schemas.openxmlformats.org/officeDocument/2006/relationships" ref="H93" r:id="Rfafa1098a15e421a"/>
    <x:hyperlink xmlns:r="http://schemas.openxmlformats.org/officeDocument/2006/relationships" ref="I93" r:id="R47c0a1045b84402a"/>
    <x:hyperlink xmlns:r="http://schemas.openxmlformats.org/officeDocument/2006/relationships" ref="J93" r:id="R4b2e60667dd748a4"/>
    <x:hyperlink xmlns:r="http://schemas.openxmlformats.org/officeDocument/2006/relationships" ref="H94" r:id="R7c9d909b93774da7"/>
    <x:hyperlink xmlns:r="http://schemas.openxmlformats.org/officeDocument/2006/relationships" ref="I94" r:id="R600ab8593d534d95"/>
    <x:hyperlink xmlns:r="http://schemas.openxmlformats.org/officeDocument/2006/relationships" ref="J94" r:id="R804a5255d0834415"/>
  </x:hyperlinks>
  <x:pageMargins left="0.7" right="0.7" top="0.75" bottom="0.75" header="0.3" footer="0.3"/>
  <x:tableParts count="1">
    <x:tablePart xmlns:r="http://schemas.openxmlformats.org/officeDocument/2006/relationships" r:id="R5d6f18d6d42c40cc"/>
  </x:tableParts>
</x:worksheet>
</file>

<file path=xl/worksheets/sheet5.xml><?xml version="1.0" encoding="utf-8"?>
<x:worksheet xmlns:x="http://schemas.openxmlformats.org/spreadsheetml/2006/main">
  <x:sheetPr>
    <x:tabColor rgb="FF00A3B5"/>
  </x:sheetPr>
  <x:sheetViews>
    <x:sheetView showGridLines="0" workbookViewId="0">
      <x:pane xSplit="2" ySplit="8" topLeftCell="C9" activePane="bottomRight" state="frozen"/>
    </x:sheetView>
  </x:sheetViews>
  <x:sheetFormatPr defaultRowHeight="15"/>
  <x:cols>
    <x:col min="1" max="1" width="33.33000183105469" hidden="0" customWidth="1"/>
    <x:col min="2" max="2" width="13.329999923706055" hidden="0" customWidth="1"/>
    <x:col min="3" max="3" width="13.329999923706055" hidden="0" customWidth="1"/>
    <x:col min="4" max="4" width="12.779999732971191" hidden="0" customWidth="1"/>
    <x:col min="5" max="5" width="17.219999313354492" hidden="0" customWidth="1"/>
    <x:col min="6" max="6" width="16.110000610351562" hidden="0" customWidth="1"/>
    <x:col min="7" max="7" width="17.780000686645508" hidden="0" customWidth="1"/>
    <x:col min="8" max="8" width="18.889999389648438" hidden="0" customWidth="1"/>
    <x:col min="9" max="9" width="14.4399995803833" hidden="0" customWidth="1"/>
    <x:col min="10" max="10" width="38.88999938964844" hidden="0" customWidth="1"/>
    <x:col min="11" max="11" width="42.220001220703125" hidden="0" customWidth="1"/>
    <x:col min="13" max="13" width="33.33000183105469" hidden="0" customWidth="1"/>
    <x:col min="14" max="14" width="16.670000076293945" hidden="0" customWidth="1"/>
    <x:col min="15" max="15" width="16.670000076293945" hidden="0" customWidth="1"/>
    <x:col min="16" max="16" width="20.559999465942383" hidden="0" customWidth="1"/>
    <x:col min="17" max="17" width="19.440000534057617" hidden="0" customWidth="1"/>
    <x:col min="18" max="18" width="22.780000686645508" hidden="0" customWidth="1"/>
    <x:col min="19" max="19" width="19.440000534057617" hidden="0" customWidth="1"/>
    <x:col min="20" max="20" width="48.88999938964844" hidden="0" customWidth="1"/>
  </x:cols>
  <x:sheetData>
    <x:row r="1">
      <x:c r="A1" s="217" t="str">
        <x:v>Drug formulary listing</x:v>
      </x:c>
      <x:c r="B1" s="217" t="str">
        <x:v>Drug formulary listing</x:v>
      </x:c>
      <x:c r="C1" s="217" t="str">
        <x:v>Drug formulary listing</x:v>
      </x:c>
      <x:c r="D1" s="217" t="str">
        <x:v>Drug formulary listing</x:v>
      </x:c>
      <x:c r="E1" s="217" t="str">
        <x:v>Drug formulary listing</x:v>
      </x:c>
      <x:c r="F1" s="217" t="str">
        <x:v>Drug formulary listing</x:v>
      </x:c>
      <x:c r="G1" s="214"/>
      <x:c r="H1" s="214"/>
      <x:c r="I1" s="214"/>
      <x:c r="J1" s="214"/>
      <x:c r="K1" s="214"/>
    </x:row>
    <x:row r="2">
      <x:c r="A2" s="217" t="str">
        <x:v>Drug formulary listing</x:v>
      </x:c>
      <x:c r="B2" s="217" t="str">
        <x:v>Drug formulary listing</x:v>
      </x:c>
      <x:c r="C2" s="217" t="str">
        <x:v>Drug formulary listing</x:v>
      </x:c>
      <x:c r="D2" s="217" t="str">
        <x:v>Drug formulary listing</x:v>
      </x:c>
      <x:c r="E2" s="217" t="str">
        <x:v>Drug formulary listing</x:v>
      </x:c>
      <x:c r="F2" s="217" t="str">
        <x:v>Drug formulary listing</x:v>
      </x:c>
      <x:c r="G2" s="214"/>
      <x:c r="H2" s="214"/>
      <x:c r="I2" s="214"/>
      <x:c r="J2" s="214"/>
      <x:c r="K2" s="214"/>
    </x:row>
    <x:row r="3">
      <x:c r="A3" s="220" t="str">
        <x:v>August 2026 CMS public files. Denominator: 5,499 unsuppressed contract-plan-segment combinations after removing county repetitions. Each segment counts equally; results are not enrollment weighted.</x:v>
      </x:c>
      <x:c r="B3" s="220" t="str">
        <x:v>August 2026 CMS public files. Denominator: 5,499 unsuppressed contract-plan-segment combinations after removing county repetitions. Each segment counts equally; results are not enrollment weighted.</x:v>
      </x:c>
      <x:c r="C3" s="220" t="str">
        <x:v>August 2026 CMS public files. Denominator: 5,499 unsuppressed contract-plan-segment combinations after removing county repetitions. Each segment counts equally; results are not enrollment weighted.</x:v>
      </x:c>
      <x:c r="D3" s="220" t="str">
        <x:v>August 2026 CMS public files. Denominator: 5,499 unsuppressed contract-plan-segment combinations after removing county repetitions. Each segment counts equally; results are not enrollment weighted.</x:v>
      </x:c>
      <x:c r="E3" s="220" t="str">
        <x:v>August 2026 CMS public files. Denominator: 5,499 unsuppressed contract-plan-segment combinations after removing county repetitions. Each segment counts equally; results are not enrollment weighted.</x:v>
      </x:c>
      <x:c r="F3" s="220" t="str">
        <x:v>August 2026 CMS public files. Denominator: 5,499 unsuppressed contract-plan-segment combinations after removing county repetitions. Each segment counts equally; results are not enrollment weighted.</x:v>
      </x:c>
      <x:c r="G3" s="214"/>
      <x:c r="H3" s="214"/>
      <x:c r="I3" s="214"/>
      <x:c r="J3" s="214"/>
      <x:c r="K3" s="214"/>
      <x:c r="M3" s="2309" t="str">
        <x:v>Three mutually exclusive states per formulation: no matched listing; listed but every option requires PA and/or ST; or at least one listed option without either flag. Shares use all analyzed plan segments.</x:v>
      </x:c>
      <x:c r="N3" s="2309" t="str">
        <x:v>Three mutually exclusive states per formulation: no matched listing; listed but every option requires PA and/or ST; or at least one listed option without either flag. Shares use all analyzed plan segments.</x:v>
      </x:c>
      <x:c r="O3" s="2309" t="str">
        <x:v>Three mutually exclusive states per formulation: no matched listing; listed but every option requires PA and/or ST; or at least one listed option without either flag. Shares use all analyzed plan segments.</x:v>
      </x:c>
      <x:c r="P3" s="2309" t="str">
        <x:v>Three mutually exclusive states per formulation: no matched listing; listed but every option requires PA and/or ST; or at least one listed option without either flag. Shares use all analyzed plan segments.</x:v>
      </x:c>
      <x:c r="Q3" s="2309" t="str">
        <x:v>Three mutually exclusive states per formulation: no matched listing; listed but every option requires PA and/or ST; or at least one listed option without either flag. Shares use all analyzed plan segments.</x:v>
      </x:c>
      <x:c r="R3" s="2309" t="str">
        <x:v>Three mutually exclusive states per formulation: no matched listing; listed but every option requires PA and/or ST; or at least one listed option without either flag. Shares use all analyzed plan segments.</x:v>
      </x:c>
      <x:c r="S3" s="2309" t="str">
        <x:v>Three mutually exclusive states per formulation: no matched listing; listed but every option requires PA and/or ST; or at least one listed option without either flag. Shares use all analyzed plan segments.</x:v>
      </x:c>
      <x:c r="T3" s="2309" t="str">
        <x:v>Three mutually exclusive states per formulation: no matched listing; listed but every option requires PA and/or ST; or at least one listed option without either flag. Shares use all analyzed plan segments.</x:v>
      </x:c>
    </x:row>
    <x:row r="4">
      <x:c r="A4" s="220" t="str">
        <x:v>August 2026 CMS public files. Denominator: 5,499 unsuppressed contract-plan-segment combinations after removing county repetitions. Each segment counts equally; results are not enrollment weighted.</x:v>
      </x:c>
      <x:c r="B4" s="220" t="str">
        <x:v>August 2026 CMS public files. Denominator: 5,499 unsuppressed contract-plan-segment combinations after removing county repetitions. Each segment counts equally; results are not enrollment weighted.</x:v>
      </x:c>
      <x:c r="C4" s="220" t="str">
        <x:v>August 2026 CMS public files. Denominator: 5,499 unsuppressed contract-plan-segment combinations after removing county repetitions. Each segment counts equally; results are not enrollment weighted.</x:v>
      </x:c>
      <x:c r="D4" s="220" t="str">
        <x:v>August 2026 CMS public files. Denominator: 5,499 unsuppressed contract-plan-segment combinations after removing county repetitions. Each segment counts equally; results are not enrollment weighted.</x:v>
      </x:c>
      <x:c r="E4" s="220" t="str">
        <x:v>August 2026 CMS public files. Denominator: 5,499 unsuppressed contract-plan-segment combinations after removing county repetitions. Each segment counts equally; results are not enrollment weighted.</x:v>
      </x:c>
      <x:c r="F4" s="220" t="str">
        <x:v>August 2026 CMS public files. Denominator: 5,499 unsuppressed contract-plan-segment combinations after removing county repetitions. Each segment counts equally; results are not enrollment weighted.</x:v>
      </x:c>
      <x:c r="G4" s="214"/>
      <x:c r="H4" s="214"/>
      <x:c r="I4" s="214"/>
      <x:c r="J4" s="214"/>
      <x:c r="K4" s="214"/>
      <x:c r="M4" s="2309" t="str">
        <x:v>Three mutually exclusive states per formulation: no matched listing; listed but every option requires PA and/or ST; or at least one listed option without either flag. Shares use all analyzed plan segments.</x:v>
      </x:c>
      <x:c r="N4" s="2309" t="str">
        <x:v>Three mutually exclusive states per formulation: no matched listing; listed but every option requires PA and/or ST; or at least one listed option without either flag. Shares use all analyzed plan segments.</x:v>
      </x:c>
      <x:c r="O4" s="2309" t="str">
        <x:v>Three mutually exclusive states per formulation: no matched listing; listed but every option requires PA and/or ST; or at least one listed option without either flag. Shares use all analyzed plan segments.</x:v>
      </x:c>
      <x:c r="P4" s="2309" t="str">
        <x:v>Three mutually exclusive states per formulation: no matched listing; listed but every option requires PA and/or ST; or at least one listed option without either flag. Shares use all analyzed plan segments.</x:v>
      </x:c>
      <x:c r="Q4" s="2309" t="str">
        <x:v>Three mutually exclusive states per formulation: no matched listing; listed but every option requires PA and/or ST; or at least one listed option without either flag. Shares use all analyzed plan segments.</x:v>
      </x:c>
      <x:c r="R4" s="2309" t="str">
        <x:v>Three mutually exclusive states per formulation: no matched listing; listed but every option requires PA and/or ST; or at least one listed option without either flag. Shares use all analyzed plan segments.</x:v>
      </x:c>
      <x:c r="S4" s="2309" t="str">
        <x:v>Three mutually exclusive states per formulation: no matched listing; listed but every option requires PA and/or ST; or at least one listed option without either flag. Shares use all analyzed plan segments.</x:v>
      </x:c>
      <x:c r="T4" s="2309" t="str">
        <x:v>Three mutually exclusive states per formulation: no matched listing; listed but every option requires PA and/or ST; or at least one listed option without either flag. Shares use all analyzed plan segments.</x:v>
      </x:c>
    </x:row>
    <x:row r="5">
      <x:c r="A5" s="220" t="str">
        <x:v>Listing means at least one matched option. It does not guarantee a paid claim, every dose, affordability or clinical suitability. PA percentages use listing segments as the denominator. Formulations and indications differ.</x:v>
      </x:c>
      <x:c r="B5" s="220" t="str">
        <x:v>Listing means at least one matched option. It does not guarantee a paid claim, every dose, affordability or clinical suitability. PA percentages use listing segments as the denominator. Formulations and indications differ.</x:v>
      </x:c>
      <x:c r="C5" s="220" t="str">
        <x:v>Listing means at least one matched option. It does not guarantee a paid claim, every dose, affordability or clinical suitability. PA percentages use listing segments as the denominator. Formulations and indications differ.</x:v>
      </x:c>
      <x:c r="D5" s="220" t="str">
        <x:v>Listing means at least one matched option. It does not guarantee a paid claim, every dose, affordability or clinical suitability. PA percentages use listing segments as the denominator. Formulations and indications differ.</x:v>
      </x:c>
      <x:c r="E5" s="220" t="str">
        <x:v>Listing means at least one matched option. It does not guarantee a paid claim, every dose, affordability or clinical suitability. PA percentages use listing segments as the denominator. Formulations and indications differ.</x:v>
      </x:c>
      <x:c r="F5" s="220" t="str">
        <x:v>Listing means at least one matched option. It does not guarantee a paid claim, every dose, affordability or clinical suitability. PA percentages use listing segments as the denominator. Formulations and indications differ.</x:v>
      </x:c>
      <x:c r="G5" s="214"/>
      <x:c r="H5" s="214"/>
      <x:c r="I5" s="214"/>
      <x:c r="J5" s="214"/>
      <x:c r="K5" s="214"/>
      <x:c r="M5" s="2309" t="str">
        <x:v>These are administrative flags, not clinical suitability, paid claims or beneficiary exposure. An option without PA/ST may have quantity limits and costs. Formularies recur across segments; do not sum rows across drugs.</x:v>
      </x:c>
      <x:c r="N5" s="2309" t="str">
        <x:v>These are administrative flags, not clinical suitability, paid claims or beneficiary exposure. An option without PA/ST may have quantity limits and costs. Formularies recur across segments; do not sum rows across drugs.</x:v>
      </x:c>
      <x:c r="O5" s="2309" t="str">
        <x:v>These are administrative flags, not clinical suitability, paid claims or beneficiary exposure. An option without PA/ST may have quantity limits and costs. Formularies recur across segments; do not sum rows across drugs.</x:v>
      </x:c>
      <x:c r="P5" s="2309" t="str">
        <x:v>These are administrative flags, not clinical suitability, paid claims or beneficiary exposure. An option without PA/ST may have quantity limits and costs. Formularies recur across segments; do not sum rows across drugs.</x:v>
      </x:c>
      <x:c r="Q5" s="2309" t="str">
        <x:v>These are administrative flags, not clinical suitability, paid claims or beneficiary exposure. An option without PA/ST may have quantity limits and costs. Formularies recur across segments; do not sum rows across drugs.</x:v>
      </x:c>
      <x:c r="R5" s="2309" t="str">
        <x:v>These are administrative flags, not clinical suitability, paid claims or beneficiary exposure. An option without PA/ST may have quantity limits and costs. Formularies recur across segments; do not sum rows across drugs.</x:v>
      </x:c>
      <x:c r="S5" s="2309" t="str">
        <x:v>These are administrative flags, not clinical suitability, paid claims or beneficiary exposure. An option without PA/ST may have quantity limits and costs. Formularies recur across segments; do not sum rows across drugs.</x:v>
      </x:c>
      <x:c r="T5" s="2309" t="str">
        <x:v>These are administrative flags, not clinical suitability, paid claims or beneficiary exposure. An option without PA/ST may have quantity limits and costs. Formularies recur across segments; do not sum rows across drugs.</x:v>
      </x:c>
    </x:row>
    <x:row r="6">
      <x:c r="A6" s="220" t="str">
        <x:v>Listing means at least one matched option. It does not guarantee a paid claim, every dose, affordability or clinical suitability. PA percentages use listing segments as the denominator. Formulations and indications differ.</x:v>
      </x:c>
      <x:c r="B6" s="220" t="str">
        <x:v>Listing means at least one matched option. It does not guarantee a paid claim, every dose, affordability or clinical suitability. PA percentages use listing segments as the denominator. Formulations and indications differ.</x:v>
      </x:c>
      <x:c r="C6" s="220" t="str">
        <x:v>Listing means at least one matched option. It does not guarantee a paid claim, every dose, affordability or clinical suitability. PA percentages use listing segments as the denominator. Formulations and indications differ.</x:v>
      </x:c>
      <x:c r="D6" s="220" t="str">
        <x:v>Listing means at least one matched option. It does not guarantee a paid claim, every dose, affordability or clinical suitability. PA percentages use listing segments as the denominator. Formulations and indications differ.</x:v>
      </x:c>
      <x:c r="E6" s="220" t="str">
        <x:v>Listing means at least one matched option. It does not guarantee a paid claim, every dose, affordability or clinical suitability. PA percentages use listing segments as the denominator. Formulations and indications differ.</x:v>
      </x:c>
      <x:c r="F6" s="220" t="str">
        <x:v>Listing means at least one matched option. It does not guarantee a paid claim, every dose, affordability or clinical suitability. PA percentages use listing segments as the denominator. Formulations and indications differ.</x:v>
      </x:c>
      <x:c r="G6" s="214"/>
      <x:c r="H6" s="214"/>
      <x:c r="I6" s="214"/>
      <x:c r="J6" s="214"/>
      <x:c r="K6" s="214"/>
      <x:c r="M6" s="2309" t="str">
        <x:v>These are administrative flags, not clinical suitability, paid claims or beneficiary exposure. An option without PA/ST may have quantity limits and costs. Formularies recur across segments; do not sum rows across drugs.</x:v>
      </x:c>
      <x:c r="N6" s="2309" t="str">
        <x:v>These are administrative flags, not clinical suitability, paid claims or beneficiary exposure. An option without PA/ST may have quantity limits and costs. Formularies recur across segments; do not sum rows across drugs.</x:v>
      </x:c>
      <x:c r="O6" s="2309" t="str">
        <x:v>These are administrative flags, not clinical suitability, paid claims or beneficiary exposure. An option without PA/ST may have quantity limits and costs. Formularies recur across segments; do not sum rows across drugs.</x:v>
      </x:c>
      <x:c r="P6" s="2309" t="str">
        <x:v>These are administrative flags, not clinical suitability, paid claims or beneficiary exposure. An option without PA/ST may have quantity limits and costs. Formularies recur across segments; do not sum rows across drugs.</x:v>
      </x:c>
      <x:c r="Q6" s="2309" t="str">
        <x:v>These are administrative flags, not clinical suitability, paid claims or beneficiary exposure. An option without PA/ST may have quantity limits and costs. Formularies recur across segments; do not sum rows across drugs.</x:v>
      </x:c>
      <x:c r="R6" s="2309" t="str">
        <x:v>These are administrative flags, not clinical suitability, paid claims or beneficiary exposure. An option without PA/ST may have quantity limits and costs. Formularies recur across segments; do not sum rows across drugs.</x:v>
      </x:c>
      <x:c r="S6" s="2309" t="str">
        <x:v>These are administrative flags, not clinical suitability, paid claims or beneficiary exposure. An option without PA/ST may have quantity limits and costs. Formularies recur across segments; do not sum rows across drugs.</x:v>
      </x:c>
      <x:c r="T6" s="2309" t="str">
        <x:v>These are administrative flags, not clinical suitability, paid claims or beneficiary exposure. An option without PA/ST may have quantity limits and costs. Formularies recur across segments; do not sum rows across drugs.</x:v>
      </x:c>
    </x:row>
    <x:row r="7">
      <x:c r="A7" s="214"/>
      <x:c r="B7" s="214"/>
      <x:c r="C7" s="214"/>
      <x:c r="D7" s="214"/>
      <x:c r="E7" s="214"/>
      <x:c r="F7" s="214"/>
      <x:c r="G7" s="214"/>
      <x:c r="H7" s="214"/>
      <x:c r="I7" s="214"/>
      <x:c r="J7" s="214"/>
      <x:c r="K7" s="214"/>
    </x:row>
    <x:row r="8" ht="36" customHeight="1">
      <x:c r="A8" s="224" t="str">
        <x:v>Drug / formulation</x:v>
      </x:c>
      <x:c r="B8" s="224" t="str">
        <x:v>Plan segments</x:v>
      </x:c>
      <x:c r="C8" s="224" t="str">
        <x:v>Segments listing ≥1 option</x:v>
      </x:c>
      <x:c r="D8" s="224" t="str">
        <x:v>Listed share</x:v>
      </x:c>
      <x:c r="E8" s="224" t="str">
        <x:v>Listing segments: all options PA</x:v>
      </x:c>
      <x:c r="F8" s="224" t="str">
        <x:v>All-options PA share</x:v>
      </x:c>
      <x:c r="G8" s="224" t="str">
        <x:v>Segments with ≥1 no-PA option</x:v>
      </x:c>
      <x:c r="H8" s="224" t="str">
        <x:v>Segments with ≥1 no-PA/no-ST option</x:v>
      </x:c>
      <x:c r="I8" s="224" t="str">
        <x:v>Reference drug concepts</x:v>
      </x:c>
      <x:c r="J8" s="224" t="str">
        <x:v>CMS public file</x:v>
      </x:c>
      <x:c r="K8" s="224" t="str">
        <x:v>Scope / source detail</x:v>
      </x:c>
      <x:c r="M8" s="2291" t="str">
        <x:v>Formulation (same row as A)</x:v>
      </x:c>
      <x:c r="N8" s="2291" t="str">
        <x:v>No matched listing (n)</x:v>
      </x:c>
      <x:c r="O8" s="2291" t="str">
        <x:v>No listing share</x:v>
      </x:c>
      <x:c r="P8" s="2291" t="str">
        <x:v>Listed; all options PA/ST (n)</x:v>
      </x:c>
      <x:c r="Q8" s="2291" t="str">
        <x:v>All options PA/ST share</x:v>
      </x:c>
      <x:c r="R8" s="2291" t="str">
        <x:v>At least one option without PA/ST (n)</x:v>
      </x:c>
      <x:c r="S8" s="2291" t="str">
        <x:v>Option without PA/ST share</x:v>
      </x:c>
      <x:c r="T8" s="2291" t="str">
        <x:v>Interpretation</x:v>
      </x:c>
    </x:row>
    <x:row r="9" ht="67.5" customHeight="1">
      <x:c r="A9" s="214" t="str">
        <x:v>Estradiol: any single-ingredient form, generic or brand</x:v>
      </x:c>
      <x:c r="B9" s="242" t="n">
        <x:v>5499</x:v>
      </x:c>
      <x:c r="C9" s="242" t="n">
        <x:v>5499</x:v>
      </x:c>
      <x:c r="D9" s="244" t="n">
        <x:f>C9/B9</x:f>
        <x:v>1</x:v>
      </x:c>
      <x:c r="E9" s="242" t="n">
        <x:v>0</x:v>
      </x:c>
      <x:c r="F9" s="244" t="n">
        <x:f>E9/C9</x:f>
        <x:v>0</x:v>
      </x:c>
      <x:c r="G9" s="242" t="n">
        <x:v>5499</x:v>
      </x:c>
      <x:c r="H9" s="242" t="n">
        <x:v>5499</x:v>
      </x:c>
      <x:c r="I9" s="242" t="n">
        <x:v>72</x:v>
      </x:c>
      <x:c r="J9" s="214" t="str">
        <x:v>https://data.cms.gov/sites/default/files/2026-08/d8c9b393-66f0-4973-a748-f66742fe0fd2/2026_20260819.zip</x:v>
      </x:c>
      <x:c r="K9" s="214" t="str">
        <x:v>CMS basic formulary joined by RxCUI to August 25 reference. 328 formularies. Excludes 19 suppressed segments and employer, PACE, non-Part-D and most demonstration plans.</x:v>
      </x:c>
      <x:c r="M9" s="2292" t="str">
        <x:f>A9</x:f>
        <x:v>Estradiol: any single-ingredient form, generic or brand</x:v>
      </x:c>
      <x:c r="N9" s="2384" t="n">
        <x:f>B9-C9</x:f>
        <x:v>0</x:v>
      </x:c>
      <x:c r="O9" s="2385" t="n">
        <x:f>N9/B9</x:f>
        <x:v>0</x:v>
      </x:c>
      <x:c r="P9" s="2384" t="n">
        <x:f>C9-H9</x:f>
        <x:v>0</x:v>
      </x:c>
      <x:c r="Q9" s="2385" t="n">
        <x:f>P9/B9</x:f>
        <x:v>0</x:v>
      </x:c>
      <x:c r="R9" s="2384" t="n">
        <x:f>H9</x:f>
        <x:v>5499</x:v>
      </x:c>
      <x:c r="S9" s="2385" t="n">
        <x:f>R9/B9</x:f>
        <x:v>1</x:v>
      </x:c>
      <x:c r="T9" s="2292" t="str">
        <x:v>Same CMS source as column J. No matched listing does not rule out an exception. PA/ST requirements need clinical and policy review.</x:v>
      </x:c>
    </x:row>
    <x:row r="10" ht="67.5" customHeight="1">
      <x:c r="A10" s="225" t="str">
        <x:v>Generic estradiol: oral tablet</x:v>
      </x:c>
      <x:c r="B10" s="243" t="n">
        <x:v>5499</x:v>
      </x:c>
      <x:c r="C10" s="243" t="n">
        <x:v>5499</x:v>
      </x:c>
      <x:c r="D10" s="245" t="n">
        <x:f>C10/B10</x:f>
        <x:v>1</x:v>
      </x:c>
      <x:c r="E10" s="243" t="n">
        <x:v>0</x:v>
      </x:c>
      <x:c r="F10" s="245" t="n">
        <x:f>E10/C10</x:f>
        <x:v>0</x:v>
      </x:c>
      <x:c r="G10" s="243" t="n">
        <x:v>5499</x:v>
      </x:c>
      <x:c r="H10" s="243" t="n">
        <x:v>5499</x:v>
      </x:c>
      <x:c r="I10" s="243" t="n">
        <x:v>3</x:v>
      </x:c>
      <x:c r="J10" s="225" t="str">
        <x:v>https://data.cms.gov/sites/default/files/2026-08/d8c9b393-66f0-4973-a748-f66742fe0fd2/2026_20260819.zip</x:v>
      </x:c>
      <x:c r="K10" s="225" t="str">
        <x:v>CMS basic formulary joined by RxCUI to August 25 reference. 328 formularies. Excludes 19 suppressed segments and employer, PACE, non-Part-D and most demonstration plans.</x:v>
      </x:c>
      <x:c r="M10" s="2298" t="str">
        <x:f>A10</x:f>
        <x:v>Generic estradiol: oral tablet</x:v>
      </x:c>
      <x:c r="N10" s="2386" t="n">
        <x:f>B10-C10</x:f>
        <x:v>0</x:v>
      </x:c>
      <x:c r="O10" s="2387" t="n">
        <x:f>N10/B10</x:f>
        <x:v>0</x:v>
      </x:c>
      <x:c r="P10" s="2386" t="n">
        <x:f>C10-H10</x:f>
        <x:v>0</x:v>
      </x:c>
      <x:c r="Q10" s="2387" t="n">
        <x:f>P10/B10</x:f>
        <x:v>0</x:v>
      </x:c>
      <x:c r="R10" s="2386" t="n">
        <x:f>H10</x:f>
        <x:v>5499</x:v>
      </x:c>
      <x:c r="S10" s="2387" t="n">
        <x:f>R10/B10</x:f>
        <x:v>1</x:v>
      </x:c>
      <x:c r="T10" s="2298" t="str">
        <x:v>Same CMS source as column J. No matched listing does not rule out an exception. PA/ST requirements need clinical and policy review.</x:v>
      </x:c>
    </x:row>
    <x:row r="11" ht="67.5" customHeight="1">
      <x:c r="A11" s="214" t="str">
        <x:v>Generic estradiol: vaginal cream</x:v>
      </x:c>
      <x:c r="B11" s="242" t="n">
        <x:v>5499</x:v>
      </x:c>
      <x:c r="C11" s="242" t="n">
        <x:v>5499</x:v>
      </x:c>
      <x:c r="D11" s="244" t="n">
        <x:f>C11/B11</x:f>
        <x:v>1</x:v>
      </x:c>
      <x:c r="E11" s="242" t="n">
        <x:v>0</x:v>
      </x:c>
      <x:c r="F11" s="244" t="n">
        <x:f>E11/C11</x:f>
        <x:v>0</x:v>
      </x:c>
      <x:c r="G11" s="242" t="n">
        <x:v>5499</x:v>
      </x:c>
      <x:c r="H11" s="242" t="n">
        <x:v>5499</x:v>
      </x:c>
      <x:c r="I11" s="242" t="n">
        <x:v>1</x:v>
      </x:c>
      <x:c r="J11" s="214" t="str">
        <x:v>https://data.cms.gov/sites/default/files/2026-08/d8c9b393-66f0-4973-a748-f66742fe0fd2/2026_20260819.zip</x:v>
      </x:c>
      <x:c r="K11" s="214" t="str">
        <x:v>CMS basic formulary joined by RxCUI to August 25 reference. 328 formularies. Excludes 19 suppressed segments and employer, PACE, non-Part-D and most demonstration plans.</x:v>
      </x:c>
      <x:c r="M11" s="2292" t="str">
        <x:f>A11</x:f>
        <x:v>Generic estradiol: vaginal cream</x:v>
      </x:c>
      <x:c r="N11" s="2384" t="n">
        <x:f>B11-C11</x:f>
        <x:v>0</x:v>
      </x:c>
      <x:c r="O11" s="2385" t="n">
        <x:f>N11/B11</x:f>
        <x:v>0</x:v>
      </x:c>
      <x:c r="P11" s="2384" t="n">
        <x:f>C11-H11</x:f>
        <x:v>0</x:v>
      </x:c>
      <x:c r="Q11" s="2385" t="n">
        <x:f>P11/B11</x:f>
        <x:v>0</x:v>
      </x:c>
      <x:c r="R11" s="2384" t="n">
        <x:f>H11</x:f>
        <x:v>5499</x:v>
      </x:c>
      <x:c r="S11" s="2385" t="n">
        <x:f>R11/B11</x:f>
        <x:v>1</x:v>
      </x:c>
      <x:c r="T11" s="2292" t="str">
        <x:v>Same CMS source as column J. No matched listing does not rule out an exception. PA/ST requirements need clinical and policy review.</x:v>
      </x:c>
    </x:row>
    <x:row r="12" ht="67.5" customHeight="1">
      <x:c r="A12" s="225" t="str">
        <x:v>Generic estradiol: vaginal insert</x:v>
      </x:c>
      <x:c r="B12" s="243" t="n">
        <x:v>5499</x:v>
      </x:c>
      <x:c r="C12" s="243" t="n">
        <x:v>5380</x:v>
      </x:c>
      <x:c r="D12" s="245" t="n">
        <x:f>C12/B12</x:f>
        <x:v>0.978359701763957</x:v>
      </x:c>
      <x:c r="E12" s="243" t="n">
        <x:v>0</x:v>
      </x:c>
      <x:c r="F12" s="245" t="n">
        <x:f>E12/C12</x:f>
        <x:v>0</x:v>
      </x:c>
      <x:c r="G12" s="243" t="n">
        <x:v>5380</x:v>
      </x:c>
      <x:c r="H12" s="243" t="n">
        <x:v>5380</x:v>
      </x:c>
      <x:c r="I12" s="243" t="n">
        <x:v>1</x:v>
      </x:c>
      <x:c r="J12" s="225" t="str">
        <x:v>https://data.cms.gov/sites/default/files/2026-08/d8c9b393-66f0-4973-a748-f66742fe0fd2/2026_20260819.zip</x:v>
      </x:c>
      <x:c r="K12" s="225" t="str">
        <x:v>CMS basic formulary joined by RxCUI to August 25 reference. 328 formularies. Excludes 19 suppressed segments and employer, PACE, non-Part-D and most demonstration plans.</x:v>
      </x:c>
      <x:c r="M12" s="2298" t="str">
        <x:f>A12</x:f>
        <x:v>Generic estradiol: vaginal insert</x:v>
      </x:c>
      <x:c r="N12" s="2386" t="n">
        <x:f>B12-C12</x:f>
        <x:v>119</x:v>
      </x:c>
      <x:c r="O12" s="2387" t="n">
        <x:f>N12/B12</x:f>
        <x:v>0.021640298236042917</x:v>
      </x:c>
      <x:c r="P12" s="2386" t="n">
        <x:f>C12-H12</x:f>
        <x:v>0</x:v>
      </x:c>
      <x:c r="Q12" s="2387" t="n">
        <x:f>P12/B12</x:f>
        <x:v>0</x:v>
      </x:c>
      <x:c r="R12" s="2386" t="n">
        <x:f>H12</x:f>
        <x:v>5380</x:v>
      </x:c>
      <x:c r="S12" s="2387" t="n">
        <x:f>R12/B12</x:f>
        <x:v>0.978359701763957</x:v>
      </x:c>
      <x:c r="T12" s="2298" t="str">
        <x:v>Same CMS source as column J. No matched listing does not rule out an exception. PA/ST requirements need clinical and policy review.</x:v>
      </x:c>
    </x:row>
    <x:row r="13" ht="67.5" customHeight="1">
      <x:c r="A13" s="214" t="str">
        <x:v>Generic estradiol: transdermal patch</x:v>
      </x:c>
      <x:c r="B13" s="242" t="n">
        <x:v>5499</x:v>
      </x:c>
      <x:c r="C13" s="242" t="n">
        <x:v>5366</x:v>
      </x:c>
      <x:c r="D13" s="244" t="n">
        <x:f>C13/B13</x:f>
        <x:v>0.9758137843244227</x:v>
      </x:c>
      <x:c r="E13" s="242" t="n">
        <x:v>270</x:v>
      </x:c>
      <x:c r="F13" s="244" t="n">
        <x:f>E13/C13</x:f>
        <x:v>0.050316809541557955</x:v>
      </x:c>
      <x:c r="G13" s="242" t="n">
        <x:v>5096</x:v>
      </x:c>
      <x:c r="H13" s="242" t="n">
        <x:v>5096</x:v>
      </x:c>
      <x:c r="I13" s="242" t="n">
        <x:v>11</x:v>
      </x:c>
      <x:c r="J13" s="214" t="str">
        <x:v>https://data.cms.gov/sites/default/files/2026-08/d8c9b393-66f0-4973-a748-f66742fe0fd2/2026_20260819.zip</x:v>
      </x:c>
      <x:c r="K13" s="214" t="str">
        <x:v>CMS basic formulary joined by RxCUI to August 25 reference. 328 formularies. Excludes 19 suppressed segments and employer, PACE, non-Part-D and most demonstration plans.</x:v>
      </x:c>
      <x:c r="M13" s="2292" t="str">
        <x:f>A13</x:f>
        <x:v>Generic estradiol: transdermal patch</x:v>
      </x:c>
      <x:c r="N13" s="2384" t="n">
        <x:f>B13-C13</x:f>
        <x:v>133</x:v>
      </x:c>
      <x:c r="O13" s="2385" t="n">
        <x:f>N13/B13</x:f>
        <x:v>0.02418621567557738</x:v>
      </x:c>
      <x:c r="P13" s="2384" t="n">
        <x:f>C13-H13</x:f>
        <x:v>270</x:v>
      </x:c>
      <x:c r="Q13" s="2385" t="n">
        <x:f>P13/B13</x:f>
        <x:v>0.049099836333878884</x:v>
      </x:c>
      <x:c r="R13" s="2384" t="n">
        <x:f>H13</x:f>
        <x:v>5096</x:v>
      </x:c>
      <x:c r="S13" s="2385" t="n">
        <x:f>R13/B13</x:f>
        <x:v>0.9267139479905437</x:v>
      </x:c>
      <x:c r="T13" s="2292" t="str">
        <x:v>Same CMS source as column J. No matched listing does not rule out an exception. PA/ST requirements need clinical and policy review.</x:v>
      </x:c>
    </x:row>
    <x:row r="14" ht="67.5" customHeight="1">
      <x:c r="A14" s="225" t="str">
        <x:v>Generic estradiol: topical gel</x:v>
      </x:c>
      <x:c r="B14" s="243" t="n">
        <x:v>5499</x:v>
      </x:c>
      <x:c r="C14" s="243" t="n">
        <x:v>1391</x:v>
      </x:c>
      <x:c r="D14" s="245" t="n">
        <x:f>C14/B14</x:f>
        <x:v>0.25295508274231676</x:v>
      </x:c>
      <x:c r="E14" s="243" t="n">
        <x:v>0</x:v>
      </x:c>
      <x:c r="F14" s="245" t="n">
        <x:f>E14/C14</x:f>
        <x:v>0</x:v>
      </x:c>
      <x:c r="G14" s="243" t="n">
        <x:v>1391</x:v>
      </x:c>
      <x:c r="H14" s="243" t="n">
        <x:v>1391</x:v>
      </x:c>
      <x:c r="I14" s="243" t="n">
        <x:v>6</x:v>
      </x:c>
      <x:c r="J14" s="225" t="str">
        <x:v>https://data.cms.gov/sites/default/files/2026-08/d8c9b393-66f0-4973-a748-f66742fe0fd2/2026_20260819.zip</x:v>
      </x:c>
      <x:c r="K14" s="225" t="str">
        <x:v>CMS basic formulary joined by RxCUI to August 25 reference. 328 formularies. Excludes 19 suppressed segments and employer, PACE, non-Part-D and most demonstration plans.</x:v>
      </x:c>
      <x:c r="M14" s="2298" t="str">
        <x:f>A14</x:f>
        <x:v>Generic estradiol: topical gel</x:v>
      </x:c>
      <x:c r="N14" s="2386" t="n">
        <x:f>B14-C14</x:f>
        <x:v>4108</x:v>
      </x:c>
      <x:c r="O14" s="2387" t="n">
        <x:f>N14/B14</x:f>
        <x:v>0.7470449172576832</x:v>
      </x:c>
      <x:c r="P14" s="2386" t="n">
        <x:f>C14-H14</x:f>
        <x:v>0</x:v>
      </x:c>
      <x:c r="Q14" s="2387" t="n">
        <x:f>P14/B14</x:f>
        <x:v>0</x:v>
      </x:c>
      <x:c r="R14" s="2386" t="n">
        <x:f>H14</x:f>
        <x:v>1391</x:v>
      </x:c>
      <x:c r="S14" s="2387" t="n">
        <x:f>R14/B14</x:f>
        <x:v>0.25295508274231676</x:v>
      </x:c>
      <x:c r="T14" s="2298" t="str">
        <x:v>Same CMS source as column J. No matched listing does not rule out an exception. PA/ST requirements need clinical and policy review.</x:v>
      </x:c>
    </x:row>
    <x:row r="15" ht="67.5" customHeight="1">
      <x:c r="A15" s="214" t="str">
        <x:v>Estring brand</x:v>
      </x:c>
      <x:c r="B15" s="242" t="n">
        <x:v>5499</x:v>
      </x:c>
      <x:c r="C15" s="242" t="n">
        <x:v>3364</x:v>
      </x:c>
      <x:c r="D15" s="244" t="n">
        <x:f>C15/B15</x:f>
        <x:v>0.6117475904709947</x:v>
      </x:c>
      <x:c r="E15" s="242" t="n">
        <x:v>0</x:v>
      </x:c>
      <x:c r="F15" s="244" t="n">
        <x:f>E15/C15</x:f>
        <x:v>0</x:v>
      </x:c>
      <x:c r="G15" s="242" t="n">
        <x:v>3364</x:v>
      </x:c>
      <x:c r="H15" s="242" t="n">
        <x:v>3364</x:v>
      </x:c>
      <x:c r="I15" s="242" t="n">
        <x:v>1</x:v>
      </x:c>
      <x:c r="J15" s="214" t="str">
        <x:v>https://data.cms.gov/sites/default/files/2026-08/d8c9b393-66f0-4973-a748-f66742fe0fd2/2026_20260819.zip</x:v>
      </x:c>
      <x:c r="K15" s="214" t="str">
        <x:v>CMS basic formulary joined by RxCUI to August 25 reference. 328 formularies. Excludes 19 suppressed segments and employer, PACE, non-Part-D and most demonstration plans.</x:v>
      </x:c>
      <x:c r="M15" s="2292" t="str">
        <x:f>A15</x:f>
        <x:v>Estring brand</x:v>
      </x:c>
      <x:c r="N15" s="2384" t="n">
        <x:f>B15-C15</x:f>
        <x:v>2135</x:v>
      </x:c>
      <x:c r="O15" s="2385" t="n">
        <x:f>N15/B15</x:f>
        <x:v>0.38825240952900525</x:v>
      </x:c>
      <x:c r="P15" s="2384" t="n">
        <x:f>C15-H15</x:f>
        <x:v>0</x:v>
      </x:c>
      <x:c r="Q15" s="2385" t="n">
        <x:f>P15/B15</x:f>
        <x:v>0</x:v>
      </x:c>
      <x:c r="R15" s="2384" t="n">
        <x:f>H15</x:f>
        <x:v>3364</x:v>
      </x:c>
      <x:c r="S15" s="2385" t="n">
        <x:f>R15/B15</x:f>
        <x:v>0.6117475904709947</x:v>
      </x:c>
      <x:c r="T15" s="2292" t="str">
        <x:v>Same CMS source as column J. No matched listing does not rule out an exception. PA/ST requirements need clinical and policy review.</x:v>
      </x:c>
    </x:row>
    <x:row r="16" ht="67.5" customHeight="1">
      <x:c r="A16" s="225" t="str">
        <x:v>Testosterone: any single-ingredient form, generic or brand</x:v>
      </x:c>
      <x:c r="B16" s="243" t="n">
        <x:v>5499</x:v>
      </x:c>
      <x:c r="C16" s="243" t="n">
        <x:v>5499</x:v>
      </x:c>
      <x:c r="D16" s="245" t="n">
        <x:f>C16/B16</x:f>
        <x:v>1</x:v>
      </x:c>
      <x:c r="E16" s="243" t="n">
        <x:v>2428</x:v>
      </x:c>
      <x:c r="F16" s="245" t="n">
        <x:f>E16/C16</x:f>
        <x:v>0.4415348245135479</x:v>
      </x:c>
      <x:c r="G16" s="243" t="n">
        <x:v>3071</x:v>
      </x:c>
      <x:c r="H16" s="243" t="n">
        <x:v>3071</x:v>
      </x:c>
      <x:c r="I16" s="243" t="n">
        <x:v>26</x:v>
      </x:c>
      <x:c r="J16" s="225" t="str">
        <x:v>https://data.cms.gov/sites/default/files/2026-08/d8c9b393-66f0-4973-a748-f66742fe0fd2/2026_20260819.zip</x:v>
      </x:c>
      <x:c r="K16" s="225" t="str">
        <x:v>CMS basic formulary joined by RxCUI to August 25 reference. 328 formularies. Excludes 19 suppressed segments and employer, PACE, non-Part-D and most demonstration plans.</x:v>
      </x:c>
      <x:c r="M16" s="2298" t="str">
        <x:f>A16</x:f>
        <x:v>Testosterone: any single-ingredient form, generic or brand</x:v>
      </x:c>
      <x:c r="N16" s="2386" t="n">
        <x:f>B16-C16</x:f>
        <x:v>0</x:v>
      </x:c>
      <x:c r="O16" s="2387" t="n">
        <x:f>N16/B16</x:f>
        <x:v>0</x:v>
      </x:c>
      <x:c r="P16" s="2386" t="n">
        <x:f>C16-H16</x:f>
        <x:v>2428</x:v>
      </x:c>
      <x:c r="Q16" s="2387" t="n">
        <x:f>P16/B16</x:f>
        <x:v>0.4415348245135479</x:v>
      </x:c>
      <x:c r="R16" s="2386" t="n">
        <x:f>H16</x:f>
        <x:v>3071</x:v>
      </x:c>
      <x:c r="S16" s="2387" t="n">
        <x:f>R16/B16</x:f>
        <x:v>0.5584651754864521</x:v>
      </x:c>
      <x:c r="T16" s="2298" t="str">
        <x:v>Same CMS source as column J. No matched listing does not rule out an exception. PA/ST requirements need clinical and policy review.</x:v>
      </x:c>
    </x:row>
    <x:row r="17" ht="67.5" customHeight="1">
      <x:c r="A17" s="214" t="str">
        <x:v>Generic testosterone: topical gel</x:v>
      </x:c>
      <x:c r="B17" s="242" t="n">
        <x:v>5499</x:v>
      </x:c>
      <x:c r="C17" s="242" t="n">
        <x:v>5465</x:v>
      </x:c>
      <x:c r="D17" s="244" t="n">
        <x:f>C17/B17</x:f>
        <x:v>0.9938170576468449</x:v>
      </x:c>
      <x:c r="E17" s="242" t="n">
        <x:v>3376</x:v>
      </x:c>
      <x:c r="F17" s="244" t="n">
        <x:f>E17/C17</x:f>
        <x:v>0.6177493138151876</x:v>
      </x:c>
      <x:c r="G17" s="242" t="n">
        <x:v>2089</x:v>
      </x:c>
      <x:c r="H17" s="242" t="n">
        <x:v>2089</x:v>
      </x:c>
      <x:c r="I17" s="242" t="n">
        <x:v>6</x:v>
      </x:c>
      <x:c r="J17" s="214" t="str">
        <x:v>https://data.cms.gov/sites/default/files/2026-08/d8c9b393-66f0-4973-a748-f66742fe0fd2/2026_20260819.zip</x:v>
      </x:c>
      <x:c r="K17" s="214" t="str">
        <x:v>CMS basic formulary joined by RxCUI to August 25 reference. 328 formularies. Excludes 19 suppressed segments and employer, PACE, non-Part-D and most demonstration plans.</x:v>
      </x:c>
      <x:c r="M17" s="2292" t="str">
        <x:f>A17</x:f>
        <x:v>Generic testosterone: topical gel</x:v>
      </x:c>
      <x:c r="N17" s="2384" t="n">
        <x:f>B17-C17</x:f>
        <x:v>34</x:v>
      </x:c>
      <x:c r="O17" s="2385" t="n">
        <x:f>N17/B17</x:f>
        <x:v>0.006182942353155119</x:v>
      </x:c>
      <x:c r="P17" s="2384" t="n">
        <x:f>C17-H17</x:f>
        <x:v>3376</x:v>
      </x:c>
      <x:c r="Q17" s="2385" t="n">
        <x:f>P17/B17</x:f>
        <x:v>0.6139298054191671</x:v>
      </x:c>
      <x:c r="R17" s="2384" t="n">
        <x:f>H17</x:f>
        <x:v>2089</x:v>
      </x:c>
      <x:c r="S17" s="2385" t="n">
        <x:f>R17/B17</x:f>
        <x:v>0.3798872522276778</x:v>
      </x:c>
      <x:c r="T17" s="2292" t="str">
        <x:v>Same CMS source as column J. No matched listing does not rule out an exception. PA/ST requirements need clinical and policy review.</x:v>
      </x:c>
    </x:row>
    <x:row r="18" ht="67.5" customHeight="1">
      <x:c r="A18" s="225" t="str">
        <x:v>Fezolinetant / Veozah</x:v>
      </x:c>
      <x:c r="B18" s="243" t="n">
        <x:v>5499</x:v>
      </x:c>
      <x:c r="C18" s="243" t="n">
        <x:v>2380</x:v>
      </x:c>
      <x:c r="D18" s="245" t="n">
        <x:f>C18/B18</x:f>
        <x:v>0.43280596472085836</x:v>
      </x:c>
      <x:c r="E18" s="243" t="n">
        <x:v>2335</x:v>
      </x:c>
      <x:c r="F18" s="245" t="n">
        <x:f>E18/C18</x:f>
        <x:v>0.9810924369747899</x:v>
      </x:c>
      <x:c r="G18" s="243" t="n">
        <x:v>45</x:v>
      </x:c>
      <x:c r="H18" s="243" t="n">
        <x:v>42</x:v>
      </x:c>
      <x:c r="I18" s="243" t="n">
        <x:v>1</x:v>
      </x:c>
      <x:c r="J18" s="225" t="str">
        <x:v>https://data.cms.gov/sites/default/files/2026-08/d8c9b393-66f0-4973-a748-f66742fe0fd2/2026_20260819.zip</x:v>
      </x:c>
      <x:c r="K18" s="225" t="str">
        <x:v>CMS basic formulary joined by RxCUI to August 25 reference. 328 formularies. Excludes 19 suppressed segments and employer, PACE, non-Part-D and most demonstration plans.</x:v>
      </x:c>
      <x:c r="M18" s="2298" t="str">
        <x:f>A18</x:f>
        <x:v>Fezolinetant / Veozah</x:v>
      </x:c>
      <x:c r="N18" s="2386" t="n">
        <x:f>B18-C18</x:f>
        <x:v>3119</x:v>
      </x:c>
      <x:c r="O18" s="2387" t="n">
        <x:f>N18/B18</x:f>
        <x:v>0.5671940352791417</x:v>
      </x:c>
      <x:c r="P18" s="2386" t="n">
        <x:f>C18-H18</x:f>
        <x:v>2338</x:v>
      </x:c>
      <x:c r="Q18" s="2387" t="n">
        <x:f>P18/B18</x:f>
        <x:v>0.42516821240225494</x:v>
      </x:c>
      <x:c r="R18" s="2386" t="n">
        <x:f>H18</x:f>
        <x:v>42</x:v>
      </x:c>
      <x:c r="S18" s="2387" t="n">
        <x:f>R18/B18</x:f>
        <x:v>0.007637752318603383</x:v>
      </x:c>
      <x:c r="T18" s="2298" t="str">
        <x:v>Same CMS source as column J. No matched listing does not rule out an exception. PA/ST requirements need clinical and policy review.</x:v>
      </x:c>
    </x:row>
    <x:row r="19" ht="67.5" customHeight="1">
      <x:c r="A19" s="214" t="str">
        <x:v>Ospemifene / Osphena</x:v>
      </x:c>
      <x:c r="B19" s="242" t="n">
        <x:v>5499</x:v>
      </x:c>
      <x:c r="C19" s="242" t="n">
        <x:v>1183</x:v>
      </x:c>
      <x:c r="D19" s="244" t="n">
        <x:f>C19/B19</x:f>
        <x:v>0.21513002364066194</x:v>
      </x:c>
      <x:c r="E19" s="242" t="n">
        <x:v>1012</x:v>
      </x:c>
      <x:c r="F19" s="244" t="n">
        <x:f>E19/C19</x:f>
        <x:v>0.8554522400676247</x:v>
      </x:c>
      <x:c r="G19" s="242" t="n">
        <x:v>171</x:v>
      </x:c>
      <x:c r="H19" s="242" t="n">
        <x:v>171</x:v>
      </x:c>
      <x:c r="I19" s="242" t="n">
        <x:v>1</x:v>
      </x:c>
      <x:c r="J19" s="214" t="str">
        <x:v>https://data.cms.gov/sites/default/files/2026-08/d8c9b393-66f0-4973-a748-f66742fe0fd2/2026_20260819.zip</x:v>
      </x:c>
      <x:c r="K19" s="214" t="str">
        <x:v>CMS basic formulary joined by RxCUI to August 25 reference. 328 formularies. Excludes 19 suppressed segments and employer, PACE, non-Part-D and most demonstration plans.</x:v>
      </x:c>
      <x:c r="M19" s="2292" t="str">
        <x:f>A19</x:f>
        <x:v>Ospemifene / Osphena</x:v>
      </x:c>
      <x:c r="N19" s="2384" t="n">
        <x:f>B19-C19</x:f>
        <x:v>4316</x:v>
      </x:c>
      <x:c r="O19" s="2385" t="n">
        <x:f>N19/B19</x:f>
        <x:v>0.7848699763593381</x:v>
      </x:c>
      <x:c r="P19" s="2384" t="n">
        <x:f>C19-H19</x:f>
        <x:v>1012</x:v>
      </x:c>
      <x:c r="Q19" s="2385" t="n">
        <x:f>P19/B19</x:f>
        <x:v>0.1840334606292053</x:v>
      </x:c>
      <x:c r="R19" s="2384" t="n">
        <x:f>H19</x:f>
        <x:v>171</x:v>
      </x:c>
      <x:c r="S19" s="2385" t="n">
        <x:f>R19/B19</x:f>
        <x:v>0.031096563011456628</x:v>
      </x:c>
      <x:c r="T19" s="2292" t="str">
        <x:v>Same CMS source as column J. No matched listing does not rule out an exception. PA/ST requirements need clinical and policy review.</x:v>
      </x:c>
    </x:row>
    <x:row r="20" ht="67.5" customHeight="1">
      <x:c r="A20" s="225" t="str">
        <x:v>Prasterone / Intrarosa</x:v>
      </x:c>
      <x:c r="B20" s="243" t="n">
        <x:v>5499</x:v>
      </x:c>
      <x:c r="C20" s="243" t="n">
        <x:v>39</x:v>
      </x:c>
      <x:c r="D20" s="245" t="n">
        <x:f>C20/B20</x:f>
        <x:v>0.0070921985815602835</x:v>
      </x:c>
      <x:c r="E20" s="243" t="n">
        <x:v>15</x:v>
      </x:c>
      <x:c r="F20" s="245" t="n">
        <x:f>E20/C20</x:f>
        <x:v>0.38461538461538464</x:v>
      </x:c>
      <x:c r="G20" s="243" t="n">
        <x:v>24</x:v>
      </x:c>
      <x:c r="H20" s="243" t="n">
        <x:v>24</x:v>
      </x:c>
      <x:c r="I20" s="243" t="n">
        <x:v>1</x:v>
      </x:c>
      <x:c r="J20" s="225" t="str">
        <x:v>https://data.cms.gov/sites/default/files/2026-08/d8c9b393-66f0-4973-a748-f66742fe0fd2/2026_20260819.zip</x:v>
      </x:c>
      <x:c r="K20" s="225" t="str">
        <x:v>CMS basic formulary joined by RxCUI to August 25 reference. 328 formularies. Excludes 19 suppressed segments and employer, PACE, non-Part-D and most demonstration plans.</x:v>
      </x:c>
      <x:c r="M20" s="2298" t="str">
        <x:f>A20</x:f>
        <x:v>Prasterone / Intrarosa</x:v>
      </x:c>
      <x:c r="N20" s="2386" t="n">
        <x:f>B20-C20</x:f>
        <x:v>5460</x:v>
      </x:c>
      <x:c r="O20" s="2387" t="n">
        <x:f>N20/B20</x:f>
        <x:v>0.9929078014184397</x:v>
      </x:c>
      <x:c r="P20" s="2386" t="n">
        <x:f>C20-H20</x:f>
        <x:v>15</x:v>
      </x:c>
      <x:c r="Q20" s="2387" t="n">
        <x:f>P20/B20</x:f>
        <x:v>0.002727768685215494</x:v>
      </x:c>
      <x:c r="R20" s="2386" t="n">
        <x:f>H20</x:f>
        <x:v>24</x:v>
      </x:c>
      <x:c r="S20" s="2387" t="n">
        <x:f>R20/B20</x:f>
        <x:v>0.00436442989634479</x:v>
      </x:c>
      <x:c r="T20" s="2298" t="str">
        <x:v>Same CMS source as column J. No matched listing does not rule out an exception. PA/ST requirements need clinical and policy review.</x:v>
      </x:c>
    </x:row>
    <x:row r="21" ht="67.5" customHeight="1">
      <x:c r="A21" s="214" t="str">
        <x:v>Paroxetine mesylate 7.5 mg oral capsule</x:v>
      </x:c>
      <x:c r="B21" s="242" t="n">
        <x:v>5499</x:v>
      </x:c>
      <x:c r="C21" s="242" t="n">
        <x:v>313</x:v>
      </x:c>
      <x:c r="D21" s="244" t="n">
        <x:f>C21/B21</x:f>
        <x:v>0.0569194398981633</x:v>
      </x:c>
      <x:c r="E21" s="242"/>
      <x:c r="F21" s="244"/>
      <x:c r="G21" s="242"/>
      <x:c r="H21" s="242"/>
      <x:c r="I21" s="242" t="n">
        <x:v>1</x:v>
      </x:c>
      <x:c r="J21" s="214" t="str">
        <x:v>https://data.cms.gov/sites/default/files/2026-08/d8c9b393-66f0-4973-a748-f66742fe0fd2/2026_20260819.zip</x:v>
      </x:c>
      <x:c r="K21" s="214" t="str">
        <x:v>Separate exact-RxCUI screen (1430122), same denominator. PA/ST measures not extracted for this supplementary row.</x:v>
      </x:c>
      <x:c r="M21" s="2292" t="str">
        <x:f>A21</x:f>
        <x:v>Paroxetine mesylate 7.5 mg oral capsule</x:v>
      </x:c>
      <x:c r="N21" s="2384" t="n">
        <x:f>B21-C21</x:f>
        <x:v>5186</x:v>
      </x:c>
      <x:c r="O21" s="2385" t="n">
        <x:f>N21/B21</x:f>
        <x:v>0.9430805601018367</x:v>
      </x:c>
      <x:c r="P21" s="2384" t="str">
        <x:v>Not extracted</x:v>
      </x:c>
      <x:c r="Q21" s="2385" t="str">
        <x:v>Not extracted</x:v>
      </x:c>
      <x:c r="R21" s="2384" t="str">
        <x:v>Not extracted</x:v>
      </x:c>
      <x:c r="S21" s="2385" t="str">
        <x:v>Not extracted</x:v>
      </x:c>
      <x:c r="T21" s="2292" t="str">
        <x:v>Supplementary paroxetine row: listing is known; PA/ST states remain unavailable.</x:v>
      </x:c>
    </x:row>
    <x:row r="22">
      <x:c r="A22" s="214"/>
      <x:c r="B22" s="214"/>
      <x:c r="C22" s="214"/>
      <x:c r="D22" s="214"/>
      <x:c r="E22" s="214"/>
      <x:c r="F22" s="214"/>
      <x:c r="G22" s="214"/>
      <x:c r="H22" s="214"/>
      <x:c r="I22" s="214"/>
      <x:c r="J22" s="214"/>
      <x:c r="K22" s="214"/>
    </x:row>
    <x:row r="23">
      <x:c r="A23" s="214"/>
      <x:c r="B23" s="214"/>
      <x:c r="C23" s="214"/>
      <x:c r="D23" s="214"/>
      <x:c r="E23" s="214"/>
      <x:c r="F23" s="214"/>
      <x:c r="G23" s="214"/>
      <x:c r="H23" s="214"/>
      <x:c r="I23" s="214"/>
      <x:c r="J23" s="214"/>
      <x:c r="K23" s="214"/>
    </x:row>
    <x:row r="24">
      <x:c r="A24" s="220" t="str">
        <x:v>Coverage differs by indication. Basic Part D excludes drugs used for sexual or erectile dysfunction; supplemental benefits may differ. Vaginal-atrophy treatments are not automatically in that excluded category.</x:v>
      </x:c>
      <x:c r="B24" s="220" t="str">
        <x:v>Coverage differs by indication. Basic Part D excludes drugs used for sexual or erectile dysfunction; supplemental benefits may differ. Vaginal-atrophy treatments are not automatically in that excluded category.</x:v>
      </x:c>
      <x:c r="C24" s="220" t="str">
        <x:v>Coverage differs by indication. Basic Part D excludes drugs used for sexual or erectile dysfunction; supplemental benefits may differ. Vaginal-atrophy treatments are not automatically in that excluded category.</x:v>
      </x:c>
      <x:c r="D24" s="220" t="str">
        <x:v>Coverage differs by indication. Basic Part D excludes drugs used for sexual or erectile dysfunction; supplemental benefits may differ. Vaginal-atrophy treatments are not automatically in that excluded category.</x:v>
      </x:c>
      <x:c r="E24" s="220" t="str">
        <x:v>Coverage differs by indication. Basic Part D excludes drugs used for sexual or erectile dysfunction; supplemental benefits may differ. Vaginal-atrophy treatments are not automatically in that excluded category.</x:v>
      </x:c>
      <x:c r="F24" s="220" t="str">
        <x:v>Coverage differs by indication. Basic Part D excludes drugs used for sexual or erectile dysfunction; supplemental benefits may differ. Vaginal-atrophy treatments are not automatically in that excluded category.</x:v>
      </x:c>
      <x:c r="G24" s="214"/>
      <x:c r="H24" s="214"/>
      <x:c r="I24" s="214"/>
      <x:c r="J24" s="214"/>
      <x:c r="K24" s="214"/>
    </x:row>
    <x:row r="25">
      <x:c r="A25" s="220" t="str">
        <x:v>Coverage differs by indication. Basic Part D excludes drugs used for sexual or erectile dysfunction; supplemental benefits may differ. Vaginal-atrophy treatments are not automatically in that excluded category.</x:v>
      </x:c>
      <x:c r="B25" s="220" t="str">
        <x:v>Coverage differs by indication. Basic Part D excludes drugs used for sexual or erectile dysfunction; supplemental benefits may differ. Vaginal-atrophy treatments are not automatically in that excluded category.</x:v>
      </x:c>
      <x:c r="C25" s="220" t="str">
        <x:v>Coverage differs by indication. Basic Part D excludes drugs used for sexual or erectile dysfunction; supplemental benefits may differ. Vaginal-atrophy treatments are not automatically in that excluded category.</x:v>
      </x:c>
      <x:c r="D25" s="220" t="str">
        <x:v>Coverage differs by indication. Basic Part D excludes drugs used for sexual or erectile dysfunction; supplemental benefits may differ. Vaginal-atrophy treatments are not automatically in that excluded category.</x:v>
      </x:c>
      <x:c r="E25" s="220" t="str">
        <x:v>Coverage differs by indication. Basic Part D excludes drugs used for sexual or erectile dysfunction; supplemental benefits may differ. Vaginal-atrophy treatments are not automatically in that excluded category.</x:v>
      </x:c>
      <x:c r="F25" s="220" t="str">
        <x:v>Coverage differs by indication. Basic Part D excludes drugs used for sexual or erectile dysfunction; supplemental benefits may differ. Vaginal-atrophy treatments are not automatically in that excluded category.</x:v>
      </x:c>
      <x:c r="G25" s="214"/>
      <x:c r="H25" s="214"/>
      <x:c r="I25" s="214"/>
      <x:c r="J25" s="214"/>
      <x:c r="K25" s="214"/>
    </x:row>
    <x:row r="26">
      <x:c r="A26" s="214"/>
      <x:c r="B26" s="214"/>
      <x:c r="C26" s="214"/>
      <x:c r="D26" s="214"/>
      <x:c r="E26" s="214"/>
      <x:c r="F26" s="214"/>
      <x:c r="G26" s="214"/>
      <x:c r="H26" s="214"/>
      <x:c r="I26" s="214"/>
      <x:c r="J26" s="214"/>
      <x:c r="K26" s="214"/>
    </x:row>
    <x:row r="27">
      <x:c r="A27" s="220" t="str">
        <x:v>23 unmatched RxCUIs were checked independently and did not belong to target groups. No patient gender, diagnosis, denied-claim, cost-sharing or enrollment data were analyzed. Nonlisting does not rule out a formulary exception.</x:v>
      </x:c>
      <x:c r="B27" s="220" t="str">
        <x:v>23 unmatched RxCUIs were checked independently and did not belong to target groups. No patient gender, diagnosis, denied-claim, cost-sharing or enrollment data were analyzed. Nonlisting does not rule out a formulary exception.</x:v>
      </x:c>
      <x:c r="C27" s="220" t="str">
        <x:v>23 unmatched RxCUIs were checked independently and did not belong to target groups. No patient gender, diagnosis, denied-claim, cost-sharing or enrollment data were analyzed. Nonlisting does not rule out a formulary exception.</x:v>
      </x:c>
      <x:c r="D27" s="220" t="str">
        <x:v>23 unmatched RxCUIs were checked independently and did not belong to target groups. No patient gender, diagnosis, denied-claim, cost-sharing or enrollment data were analyzed. Nonlisting does not rule out a formulary exception.</x:v>
      </x:c>
      <x:c r="E27" s="220" t="str">
        <x:v>23 unmatched RxCUIs were checked independently and did not belong to target groups. No patient gender, diagnosis, denied-claim, cost-sharing or enrollment data were analyzed. Nonlisting does not rule out a formulary exception.</x:v>
      </x:c>
      <x:c r="F27" s="220" t="str">
        <x:v>23 unmatched RxCUIs were checked independently and did not belong to target groups. No patient gender, diagnosis, denied-claim, cost-sharing or enrollment data were analyzed. Nonlisting does not rule out a formulary exception.</x:v>
      </x:c>
      <x:c r="G27" s="214"/>
      <x:c r="H27" s="214"/>
      <x:c r="I27" s="214"/>
      <x:c r="J27" s="214"/>
      <x:c r="K27" s="214"/>
    </x:row>
    <x:row r="28">
      <x:c r="A28" s="220" t="str">
        <x:v>23 unmatched RxCUIs were checked independently and did not belong to target groups. No patient gender, diagnosis, denied-claim, cost-sharing or enrollment data were analyzed. Nonlisting does not rule out a formulary exception.</x:v>
      </x:c>
      <x:c r="B28" s="220" t="str">
        <x:v>23 unmatched RxCUIs were checked independently and did not belong to target groups. No patient gender, diagnosis, denied-claim, cost-sharing or enrollment data were analyzed. Nonlisting does not rule out a formulary exception.</x:v>
      </x:c>
      <x:c r="C28" s="220" t="str">
        <x:v>23 unmatched RxCUIs were checked independently and did not belong to target groups. No patient gender, diagnosis, denied-claim, cost-sharing or enrollment data were analyzed. Nonlisting does not rule out a formulary exception.</x:v>
      </x:c>
      <x:c r="D28" s="220" t="str">
        <x:v>23 unmatched RxCUIs were checked independently and did not belong to target groups. No patient gender, diagnosis, denied-claim, cost-sharing or enrollment data were analyzed. Nonlisting does not rule out a formulary exception.</x:v>
      </x:c>
      <x:c r="E28" s="220" t="str">
        <x:v>23 unmatched RxCUIs were checked independently and did not belong to target groups. No patient gender, diagnosis, denied-claim, cost-sharing or enrollment data were analyzed. Nonlisting does not rule out a formulary exception.</x:v>
      </x:c>
      <x:c r="F28" s="220" t="str">
        <x:v>23 unmatched RxCUIs were checked independently and did not belong to target groups. No patient gender, diagnosis, denied-claim, cost-sharing or enrollment data were analyzed. Nonlisting does not rule out a formulary exception.</x:v>
      </x:c>
      <x:c r="G28" s="214"/>
      <x:c r="H28" s="214"/>
      <x:c r="I28" s="214"/>
      <x:c r="J28" s="214"/>
      <x:c r="K28" s="214"/>
    </x:row>
    <x:row r="29">
      <x:c r="A29" s="214"/>
      <x:c r="B29" s="214"/>
      <x:c r="C29" s="214"/>
      <x:c r="D29" s="214"/>
      <x:c r="E29" s="214"/>
      <x:c r="F29" s="214"/>
      <x:c r="G29" s="214"/>
      <x:c r="H29" s="214"/>
      <x:c r="I29" s="214"/>
      <x:c r="J29" s="214"/>
      <x:c r="K29" s="214"/>
    </x:row>
    <x:row r="30" ht="22.5" customHeight="1">
      <x:c r="A30" s="214" t="str">
        <x:v>CMS reference file</x:v>
      </x:c>
      <x:c r="B30" s="214" t="str">
        <x:v>https://www.cms.gov/files/zip/cy-2026-august-formulary-reference-file.zip</x:v>
      </x:c>
      <x:c r="C30" s="214"/>
      <x:c r="D30" s="214"/>
      <x:c r="E30" s="214"/>
      <x:c r="F30" s="214"/>
      <x:c r="G30" s="214"/>
      <x:c r="H30" s="214"/>
      <x:c r="I30" s="214"/>
      <x:c r="J30" s="214"/>
      <x:c r="K30" s="214"/>
    </x:row>
    <x:row r="31" ht="22.5" customHeight="1">
      <x:c r="A31" s="214"/>
      <x:c r="B31" s="214"/>
      <x:c r="C31" s="214"/>
      <x:c r="D31" s="214"/>
      <x:c r="E31" s="214"/>
      <x:c r="F31" s="214"/>
      <x:c r="G31" s="214"/>
      <x:c r="H31" s="214"/>
      <x:c r="I31" s="214"/>
      <x:c r="J31" s="214"/>
      <x:c r="K31" s="214"/>
    </x:row>
    <x:row r="32">
      <x:c r="A32" s="214"/>
      <x:c r="B32" s="214"/>
      <x:c r="C32" s="214"/>
      <x:c r="D32" s="214"/>
      <x:c r="E32" s="214"/>
      <x:c r="F32" s="214"/>
      <x:c r="G32" s="214"/>
      <x:c r="H32" s="214"/>
      <x:c r="I32" s="214"/>
      <x:c r="J32" s="214"/>
      <x:c r="K32" s="214"/>
    </x:row>
    <x:row r="33">
      <x:c r="A33" s="214"/>
      <x:c r="B33" s="214"/>
      <x:c r="C33" s="214"/>
      <x:c r="D33" s="214"/>
      <x:c r="E33" s="214"/>
      <x:c r="F33" s="214"/>
      <x:c r="G33" s="214"/>
      <x:c r="H33" s="214"/>
      <x:c r="I33" s="214"/>
      <x:c r="J33" s="214"/>
      <x:c r="K33" s="214"/>
    </x:row>
    <x:row r="34">
      <x:c r="A34" s="214"/>
      <x:c r="B34" s="214"/>
      <x:c r="C34" s="214"/>
      <x:c r="D34" s="214"/>
      <x:c r="E34" s="214"/>
      <x:c r="F34" s="214"/>
      <x:c r="G34" s="214"/>
      <x:c r="H34" s="214"/>
      <x:c r="I34" s="214"/>
      <x:c r="J34" s="214"/>
      <x:c r="K34" s="214"/>
    </x:row>
    <x:row r="35">
      <x:c r="A35" s="214"/>
      <x:c r="B35" s="214"/>
      <x:c r="C35" s="214"/>
      <x:c r="D35" s="214"/>
      <x:c r="E35" s="214"/>
      <x:c r="F35" s="214"/>
      <x:c r="G35" s="214"/>
      <x:c r="H35" s="214"/>
      <x:c r="I35" s="214"/>
      <x:c r="J35" s="214"/>
      <x:c r="K35" s="214"/>
    </x:row>
    <x:row r="36">
      <x:c r="A36" s="214"/>
      <x:c r="B36" s="214"/>
      <x:c r="C36" s="214"/>
      <x:c r="D36" s="214"/>
      <x:c r="E36" s="214"/>
      <x:c r="F36" s="214"/>
      <x:c r="G36" s="214"/>
      <x:c r="H36" s="214"/>
      <x:c r="I36" s="214"/>
      <x:c r="J36" s="214"/>
      <x:c r="K36" s="214"/>
    </x:row>
    <x:row r="37">
      <x:c r="A37" s="214"/>
      <x:c r="B37" s="214"/>
      <x:c r="C37" s="214"/>
      <x:c r="D37" s="214"/>
      <x:c r="E37" s="214"/>
      <x:c r="F37" s="214"/>
      <x:c r="G37" s="214"/>
      <x:c r="H37" s="214"/>
      <x:c r="I37" s="214"/>
      <x:c r="J37" s="214"/>
      <x:c r="K37" s="214"/>
    </x:row>
    <x:row r="38">
      <x:c r="A38" s="214"/>
      <x:c r="B38" s="214"/>
      <x:c r="C38" s="214"/>
      <x:c r="D38" s="214"/>
      <x:c r="E38" s="214"/>
      <x:c r="F38" s="214"/>
      <x:c r="G38" s="214"/>
      <x:c r="H38" s="214"/>
      <x:c r="I38" s="214"/>
      <x:c r="J38" s="214"/>
      <x:c r="K38" s="214"/>
    </x:row>
    <x:row r="39">
      <x:c r="A39" s="214"/>
      <x:c r="B39" s="214"/>
      <x:c r="C39" s="214"/>
      <x:c r="D39" s="214"/>
      <x:c r="E39" s="214"/>
      <x:c r="F39" s="214"/>
      <x:c r="G39" s="214"/>
      <x:c r="H39" s="214"/>
      <x:c r="I39" s="214"/>
      <x:c r="J39" s="214"/>
      <x:c r="K39" s="214"/>
    </x:row>
    <x:row r="40">
      <x:c r="A40" s="214"/>
      <x:c r="B40" s="214"/>
      <x:c r="C40" s="214"/>
      <x:c r="D40" s="214"/>
      <x:c r="E40" s="214"/>
      <x:c r="F40" s="214"/>
      <x:c r="G40" s="214"/>
      <x:c r="H40" s="214"/>
      <x:c r="I40" s="214"/>
      <x:c r="J40" s="214"/>
      <x:c r="K40" s="214"/>
    </x:row>
    <x:row r="41">
      <x:c r="A41" s="214"/>
      <x:c r="B41" s="214"/>
      <x:c r="C41" s="214"/>
      <x:c r="D41" s="214"/>
      <x:c r="E41" s="214"/>
      <x:c r="F41" s="214"/>
      <x:c r="G41" s="214"/>
      <x:c r="H41" s="214"/>
      <x:c r="I41" s="214"/>
      <x:c r="J41" s="214"/>
      <x:c r="K41" s="214"/>
    </x:row>
    <x:row r="42">
      <x:c r="A42" s="214"/>
      <x:c r="B42" s="214"/>
      <x:c r="C42" s="214"/>
      <x:c r="D42" s="214"/>
      <x:c r="E42" s="214"/>
      <x:c r="F42" s="214"/>
      <x:c r="G42" s="214"/>
      <x:c r="H42" s="214"/>
      <x:c r="I42" s="214"/>
      <x:c r="J42" s="214"/>
      <x:c r="K42" s="214"/>
    </x:row>
    <x:row r="43">
      <x:c r="A43" s="214"/>
      <x:c r="B43" s="214"/>
      <x:c r="C43" s="214"/>
      <x:c r="D43" s="214"/>
      <x:c r="E43" s="214"/>
      <x:c r="F43" s="214"/>
      <x:c r="G43" s="214"/>
      <x:c r="H43" s="214"/>
      <x:c r="I43" s="214"/>
      <x:c r="J43" s="214"/>
      <x:c r="K43" s="214"/>
    </x:row>
    <x:row r="44">
      <x:c r="A44" s="214"/>
      <x:c r="B44" s="214"/>
      <x:c r="C44" s="214"/>
      <x:c r="D44" s="214"/>
      <x:c r="E44" s="214"/>
      <x:c r="F44" s="214"/>
      <x:c r="G44" s="214"/>
      <x:c r="H44" s="214"/>
      <x:c r="I44" s="214"/>
      <x:c r="J44" s="214"/>
      <x:c r="K44" s="214"/>
    </x:row>
    <x:row r="45">
      <x:c r="A45" s="214"/>
      <x:c r="B45" s="214"/>
      <x:c r="C45" s="214"/>
      <x:c r="D45" s="214"/>
      <x:c r="E45" s="214"/>
      <x:c r="F45" s="214"/>
      <x:c r="G45" s="214"/>
      <x:c r="H45" s="214"/>
      <x:c r="I45" s="214"/>
      <x:c r="J45" s="214"/>
      <x:c r="K45" s="214"/>
    </x:row>
    <x:row r="46">
      <x:c r="A46" s="214"/>
      <x:c r="B46" s="214"/>
      <x:c r="C46" s="214"/>
      <x:c r="D46" s="214"/>
      <x:c r="E46" s="214"/>
      <x:c r="F46" s="214"/>
      <x:c r="G46" s="214"/>
      <x:c r="H46" s="214"/>
      <x:c r="I46" s="214"/>
      <x:c r="J46" s="214"/>
      <x:c r="K46" s="214"/>
    </x:row>
    <x:row r="47">
      <x:c r="A47" s="214"/>
      <x:c r="B47" s="214"/>
      <x:c r="C47" s="214"/>
      <x:c r="D47" s="214"/>
      <x:c r="E47" s="214"/>
      <x:c r="F47" s="214"/>
      <x:c r="G47" s="214"/>
      <x:c r="H47" s="214"/>
      <x:c r="I47" s="214"/>
      <x:c r="J47" s="214"/>
      <x:c r="K47" s="214"/>
    </x:row>
    <x:row r="48">
      <x:c r="A48" s="214"/>
      <x:c r="B48" s="214"/>
      <x:c r="C48" s="214"/>
      <x:c r="D48" s="214"/>
      <x:c r="E48" s="214"/>
      <x:c r="F48" s="214"/>
      <x:c r="G48" s="214"/>
      <x:c r="H48" s="214"/>
      <x:c r="I48" s="214"/>
      <x:c r="J48" s="214"/>
      <x:c r="K48" s="214"/>
    </x:row>
    <x:row r="49">
      <x:c r="A49" s="214"/>
      <x:c r="B49" s="214"/>
      <x:c r="C49" s="214"/>
      <x:c r="D49" s="214"/>
      <x:c r="E49" s="214"/>
      <x:c r="F49" s="214"/>
      <x:c r="G49" s="214"/>
      <x:c r="H49" s="214"/>
      <x:c r="I49" s="214"/>
      <x:c r="J49" s="214"/>
      <x:c r="K49" s="214"/>
    </x:row>
    <x:row r="50">
      <x:c r="A50" s="214"/>
      <x:c r="B50" s="214"/>
      <x:c r="C50" s="214"/>
      <x:c r="D50" s="214"/>
      <x:c r="E50" s="214"/>
      <x:c r="F50" s="214"/>
      <x:c r="G50" s="214"/>
      <x:c r="H50" s="214"/>
      <x:c r="I50" s="214"/>
      <x:c r="J50" s="214"/>
      <x:c r="K50" s="214"/>
    </x:row>
    <x:row r="51">
      <x:c r="A51" s="214"/>
      <x:c r="B51" s="214"/>
      <x:c r="C51" s="214"/>
      <x:c r="D51" s="214"/>
      <x:c r="E51" s="214"/>
      <x:c r="F51" s="214"/>
      <x:c r="G51" s="214"/>
      <x:c r="H51" s="214"/>
      <x:c r="I51" s="214"/>
      <x:c r="J51" s="214"/>
      <x:c r="K51" s="214"/>
    </x:row>
    <x:row r="52">
      <x:c r="A52" s="214"/>
      <x:c r="B52" s="214"/>
      <x:c r="C52" s="214"/>
      <x:c r="D52" s="214"/>
      <x:c r="E52" s="214"/>
      <x:c r="F52" s="214"/>
      <x:c r="G52" s="214"/>
      <x:c r="H52" s="214"/>
      <x:c r="I52" s="214"/>
      <x:c r="J52" s="214"/>
      <x:c r="K52" s="214"/>
    </x:row>
    <x:row r="53">
      <x:c r="A53" s="214"/>
      <x:c r="B53" s="214"/>
      <x:c r="C53" s="214"/>
      <x:c r="D53" s="214"/>
      <x:c r="E53" s="214"/>
      <x:c r="F53" s="214"/>
      <x:c r="G53" s="214"/>
      <x:c r="H53" s="214"/>
      <x:c r="I53" s="214"/>
      <x:c r="J53" s="214"/>
      <x:c r="K53" s="214"/>
    </x:row>
    <x:row r="54">
      <x:c r="A54" s="214"/>
      <x:c r="B54" s="214"/>
      <x:c r="C54" s="214"/>
      <x:c r="D54" s="214"/>
      <x:c r="E54" s="214"/>
      <x:c r="F54" s="214"/>
      <x:c r="G54" s="214"/>
      <x:c r="H54" s="214"/>
      <x:c r="I54" s="214"/>
      <x:c r="J54" s="214"/>
      <x:c r="K54" s="214"/>
    </x:row>
    <x:row r="55">
      <x:c r="A55" s="214"/>
      <x:c r="B55" s="214"/>
      <x:c r="C55" s="214"/>
      <x:c r="D55" s="214"/>
      <x:c r="E55" s="214"/>
      <x:c r="F55" s="214"/>
      <x:c r="G55" s="214"/>
      <x:c r="H55" s="214"/>
      <x:c r="I55" s="214"/>
      <x:c r="J55" s="214"/>
      <x:c r="K55" s="214"/>
    </x:row>
    <x:row r="56">
      <x:c r="A56" s="214"/>
      <x:c r="B56" s="214"/>
      <x:c r="C56" s="214"/>
      <x:c r="D56" s="214"/>
      <x:c r="E56" s="214"/>
      <x:c r="F56" s="214"/>
      <x:c r="G56" s="214"/>
      <x:c r="H56" s="214"/>
      <x:c r="I56" s="214"/>
      <x:c r="J56" s="214"/>
      <x:c r="K56" s="214"/>
    </x:row>
    <x:row r="57">
      <x:c r="A57" s="214"/>
      <x:c r="B57" s="214"/>
      <x:c r="C57" s="214"/>
      <x:c r="D57" s="214"/>
      <x:c r="E57" s="214"/>
      <x:c r="F57" s="214"/>
      <x:c r="G57" s="214"/>
      <x:c r="H57" s="214"/>
      <x:c r="I57" s="214"/>
      <x:c r="J57" s="214"/>
      <x:c r="K57" s="214"/>
    </x:row>
    <x:row r="58">
      <x:c r="A58" s="214"/>
      <x:c r="B58" s="214"/>
      <x:c r="C58" s="214"/>
      <x:c r="D58" s="214"/>
      <x:c r="E58" s="214"/>
      <x:c r="F58" s="214"/>
      <x:c r="G58" s="214"/>
      <x:c r="H58" s="214"/>
      <x:c r="I58" s="214"/>
      <x:c r="J58" s="214"/>
      <x:c r="K58" s="214"/>
    </x:row>
    <x:row r="59">
      <x:c r="A59" s="214"/>
      <x:c r="B59" s="214"/>
      <x:c r="C59" s="214"/>
      <x:c r="D59" s="214"/>
      <x:c r="E59" s="214"/>
      <x:c r="F59" s="214"/>
      <x:c r="G59" s="214"/>
      <x:c r="H59" s="214"/>
      <x:c r="I59" s="214"/>
      <x:c r="J59" s="214"/>
      <x:c r="K59" s="214"/>
    </x:row>
    <x:row r="60">
      <x:c r="A60" s="214"/>
      <x:c r="B60" s="214"/>
      <x:c r="C60" s="214"/>
      <x:c r="D60" s="214"/>
      <x:c r="E60" s="214"/>
      <x:c r="F60" s="214"/>
      <x:c r="G60" s="214"/>
      <x:c r="H60" s="214"/>
      <x:c r="I60" s="214"/>
      <x:c r="J60" s="214"/>
      <x:c r="K60" s="214"/>
    </x:row>
    <x:row r="61">
      <x:c r="A61" s="214"/>
      <x:c r="B61" s="214"/>
      <x:c r="C61" s="214"/>
      <x:c r="D61" s="214"/>
      <x:c r="E61" s="214"/>
      <x:c r="F61" s="214"/>
      <x:c r="G61" s="214"/>
      <x:c r="H61" s="214"/>
      <x:c r="I61" s="214"/>
      <x:c r="J61" s="214"/>
      <x:c r="K61" s="214"/>
    </x:row>
    <x:row r="62">
      <x:c r="A62" s="214"/>
      <x:c r="B62" s="214"/>
      <x:c r="C62" s="214"/>
      <x:c r="D62" s="214"/>
      <x:c r="E62" s="214"/>
      <x:c r="F62" s="214"/>
      <x:c r="G62" s="214"/>
      <x:c r="H62" s="214"/>
      <x:c r="I62" s="214"/>
      <x:c r="J62" s="214"/>
      <x:c r="K62" s="214"/>
    </x:row>
    <x:row r="63">
      <x:c r="A63" s="214"/>
      <x:c r="B63" s="214"/>
      <x:c r="C63" s="214"/>
      <x:c r="D63" s="214"/>
      <x:c r="E63" s="214"/>
      <x:c r="F63" s="214"/>
      <x:c r="G63" s="214"/>
      <x:c r="H63" s="214"/>
      <x:c r="I63" s="214"/>
      <x:c r="J63" s="214"/>
      <x:c r="K63" s="214"/>
    </x:row>
    <x:row r="64">
      <x:c r="A64" s="214"/>
      <x:c r="B64" s="214"/>
      <x:c r="C64" s="214"/>
      <x:c r="D64" s="214"/>
      <x:c r="E64" s="214"/>
      <x:c r="F64" s="214"/>
      <x:c r="G64" s="214"/>
      <x:c r="H64" s="214"/>
      <x:c r="I64" s="214"/>
      <x:c r="J64" s="214"/>
      <x:c r="K64" s="214"/>
    </x:row>
    <x:row r="65">
      <x:c r="A65" s="214"/>
      <x:c r="B65" s="214"/>
      <x:c r="C65" s="214"/>
      <x:c r="D65" s="214"/>
      <x:c r="E65" s="214"/>
      <x:c r="F65" s="214"/>
      <x:c r="G65" s="214"/>
      <x:c r="H65" s="214"/>
      <x:c r="I65" s="214"/>
      <x:c r="J65" s="214"/>
      <x:c r="K65" s="214"/>
    </x:row>
    <x:row r="66">
      <x:c r="A66" s="214"/>
      <x:c r="B66" s="214"/>
      <x:c r="C66" s="214"/>
      <x:c r="D66" s="214"/>
      <x:c r="E66" s="214"/>
      <x:c r="F66" s="214"/>
      <x:c r="G66" s="214"/>
      <x:c r="H66" s="214"/>
      <x:c r="I66" s="214"/>
      <x:c r="J66" s="214"/>
      <x:c r="K66" s="214"/>
    </x:row>
    <x:row r="67">
      <x:c r="A67" s="214"/>
      <x:c r="B67" s="214"/>
      <x:c r="C67" s="214"/>
      <x:c r="D67" s="214"/>
      <x:c r="E67" s="214"/>
      <x:c r="F67" s="214"/>
      <x:c r="G67" s="214"/>
      <x:c r="H67" s="214"/>
      <x:c r="I67" s="214"/>
      <x:c r="J67" s="214"/>
      <x:c r="K67" s="214"/>
    </x:row>
    <x:row r="68">
      <x:c r="A68" s="214"/>
      <x:c r="B68" s="214"/>
      <x:c r="C68" s="214"/>
      <x:c r="D68" s="214"/>
      <x:c r="E68" s="214"/>
      <x:c r="F68" s="214"/>
      <x:c r="G68" s="214"/>
      <x:c r="H68" s="214"/>
      <x:c r="I68" s="214"/>
      <x:c r="J68" s="214"/>
      <x:c r="K68" s="214"/>
    </x:row>
    <x:row r="69">
      <x:c r="A69" s="214"/>
      <x:c r="B69" s="214"/>
      <x:c r="C69" s="214"/>
      <x:c r="D69" s="214"/>
      <x:c r="E69" s="214"/>
      <x:c r="F69" s="214"/>
      <x:c r="G69" s="214"/>
      <x:c r="H69" s="214"/>
      <x:c r="I69" s="214"/>
      <x:c r="J69" s="214"/>
      <x:c r="K69" s="214"/>
    </x:row>
    <x:row r="70">
      <x:c r="A70" s="214"/>
      <x:c r="B70" s="214"/>
      <x:c r="C70" s="214"/>
      <x:c r="D70" s="214"/>
      <x:c r="E70" s="214"/>
      <x:c r="F70" s="214"/>
      <x:c r="G70" s="214"/>
      <x:c r="H70" s="214"/>
      <x:c r="I70" s="214"/>
      <x:c r="J70" s="214"/>
      <x:c r="K70" s="214"/>
    </x:row>
    <x:row r="71">
      <x:c r="A71" s="214"/>
      <x:c r="B71" s="214"/>
      <x:c r="C71" s="214"/>
      <x:c r="D71" s="214"/>
      <x:c r="E71" s="214"/>
      <x:c r="F71" s="214"/>
      <x:c r="G71" s="214"/>
      <x:c r="H71" s="214"/>
      <x:c r="I71" s="214"/>
      <x:c r="J71" s="214"/>
      <x:c r="K71" s="214"/>
    </x:row>
    <x:row r="72">
      <x:c r="A72" s="214"/>
      <x:c r="B72" s="214"/>
      <x:c r="C72" s="214"/>
      <x:c r="D72" s="214"/>
      <x:c r="E72" s="214"/>
      <x:c r="F72" s="214"/>
      <x:c r="G72" s="214"/>
      <x:c r="H72" s="214"/>
      <x:c r="I72" s="214"/>
      <x:c r="J72" s="214"/>
      <x:c r="K72" s="214"/>
    </x:row>
    <x:row r="73">
      <x:c r="A73" s="214"/>
      <x:c r="B73" s="214"/>
      <x:c r="C73" s="214"/>
      <x:c r="D73" s="214"/>
      <x:c r="E73" s="214"/>
      <x:c r="F73" s="214"/>
      <x:c r="G73" s="214"/>
      <x:c r="H73" s="214"/>
      <x:c r="I73" s="214"/>
      <x:c r="J73" s="214"/>
      <x:c r="K73" s="214"/>
    </x:row>
    <x:row r="74">
      <x:c r="A74" s="214"/>
      <x:c r="B74" s="214"/>
      <x:c r="C74" s="214"/>
      <x:c r="D74" s="214"/>
      <x:c r="E74" s="214"/>
      <x:c r="F74" s="214"/>
      <x:c r="G74" s="214"/>
      <x:c r="H74" s="214"/>
      <x:c r="I74" s="214"/>
      <x:c r="J74" s="214"/>
      <x:c r="K74" s="214"/>
    </x:row>
    <x:row r="75">
      <x:c r="A75" s="214"/>
      <x:c r="B75" s="214"/>
      <x:c r="C75" s="214"/>
      <x:c r="D75" s="214"/>
      <x:c r="E75" s="214"/>
      <x:c r="F75" s="214"/>
      <x:c r="G75" s="214"/>
      <x:c r="H75" s="214"/>
      <x:c r="I75" s="214"/>
      <x:c r="J75" s="214"/>
      <x:c r="K75" s="214"/>
    </x:row>
    <x:row r="76">
      <x:c r="A76" s="214"/>
      <x:c r="B76" s="214"/>
      <x:c r="C76" s="214"/>
      <x:c r="D76" s="214"/>
      <x:c r="E76" s="214"/>
      <x:c r="F76" s="214"/>
      <x:c r="G76" s="214"/>
      <x:c r="H76" s="214"/>
      <x:c r="I76" s="214"/>
      <x:c r="J76" s="214"/>
      <x:c r="K76" s="214"/>
    </x:row>
    <x:row r="77">
      <x:c r="A77" s="214"/>
      <x:c r="B77" s="214"/>
      <x:c r="C77" s="214"/>
      <x:c r="D77" s="214"/>
      <x:c r="E77" s="214"/>
      <x:c r="F77" s="214"/>
      <x:c r="G77" s="214"/>
      <x:c r="H77" s="214"/>
      <x:c r="I77" s="214"/>
      <x:c r="J77" s="214"/>
      <x:c r="K77" s="214"/>
    </x:row>
    <x:row r="78">
      <x:c r="A78" s="214"/>
      <x:c r="B78" s="214"/>
      <x:c r="C78" s="214"/>
      <x:c r="D78" s="214"/>
      <x:c r="E78" s="214"/>
      <x:c r="F78" s="214"/>
      <x:c r="G78" s="214"/>
      <x:c r="H78" s="214"/>
      <x:c r="I78" s="214"/>
      <x:c r="J78" s="214"/>
      <x:c r="K78" s="214"/>
    </x:row>
    <x:row r="79">
      <x:c r="A79" s="214"/>
      <x:c r="B79" s="214"/>
      <x:c r="C79" s="214"/>
      <x:c r="D79" s="214"/>
      <x:c r="E79" s="214"/>
      <x:c r="F79" s="214"/>
      <x:c r="G79" s="214"/>
      <x:c r="H79" s="214"/>
      <x:c r="I79" s="214"/>
      <x:c r="J79" s="214"/>
      <x:c r="K79" s="214"/>
    </x:row>
    <x:row r="80">
      <x:c r="A80" s="214"/>
      <x:c r="B80" s="214"/>
      <x:c r="C80" s="214"/>
      <x:c r="D80" s="214"/>
      <x:c r="E80" s="214"/>
      <x:c r="F80" s="214"/>
      <x:c r="G80" s="214"/>
      <x:c r="H80" s="214"/>
      <x:c r="I80" s="214"/>
      <x:c r="J80" s="214"/>
      <x:c r="K80" s="214"/>
    </x:row>
    <x:row r="81">
      <x:c r="A81" s="214"/>
      <x:c r="B81" s="214"/>
      <x:c r="C81" s="214"/>
      <x:c r="D81" s="214"/>
      <x:c r="E81" s="214"/>
      <x:c r="F81" s="214"/>
      <x:c r="G81" s="214"/>
      <x:c r="H81" s="214"/>
      <x:c r="I81" s="214"/>
      <x:c r="J81" s="214"/>
      <x:c r="K81" s="214"/>
    </x:row>
    <x:row r="82">
      <x:c r="A82" s="214"/>
      <x:c r="B82" s="214"/>
      <x:c r="C82" s="214"/>
      <x:c r="D82" s="214"/>
      <x:c r="E82" s="214"/>
      <x:c r="F82" s="214"/>
      <x:c r="G82" s="214"/>
      <x:c r="H82" s="214"/>
      <x:c r="I82" s="214"/>
      <x:c r="J82" s="214"/>
      <x:c r="K82" s="214"/>
    </x:row>
    <x:row r="83">
      <x:c r="A83" s="214"/>
      <x:c r="B83" s="214"/>
      <x:c r="C83" s="214"/>
      <x:c r="D83" s="214"/>
      <x:c r="E83" s="214"/>
      <x:c r="F83" s="214"/>
      <x:c r="G83" s="214"/>
      <x:c r="H83" s="214"/>
      <x:c r="I83" s="214"/>
      <x:c r="J83" s="214"/>
      <x:c r="K83" s="214"/>
    </x:row>
    <x:row r="84">
      <x:c r="A84" s="214"/>
      <x:c r="B84" s="214"/>
      <x:c r="C84" s="214"/>
      <x:c r="D84" s="214"/>
      <x:c r="E84" s="214"/>
      <x:c r="F84" s="214"/>
      <x:c r="G84" s="214"/>
      <x:c r="H84" s="214"/>
      <x:c r="I84" s="214"/>
      <x:c r="J84" s="214"/>
      <x:c r="K84" s="214"/>
    </x:row>
    <x:row r="85">
      <x:c r="A85" s="214"/>
      <x:c r="B85" s="214"/>
      <x:c r="C85" s="214"/>
      <x:c r="D85" s="214"/>
      <x:c r="E85" s="214"/>
      <x:c r="F85" s="214"/>
      <x:c r="G85" s="214"/>
      <x:c r="H85" s="214"/>
      <x:c r="I85" s="214"/>
      <x:c r="J85" s="214"/>
      <x:c r="K85" s="214"/>
    </x:row>
    <x:row r="86">
      <x:c r="A86" s="214"/>
      <x:c r="B86" s="214"/>
      <x:c r="C86" s="214"/>
      <x:c r="D86" s="214"/>
      <x:c r="E86" s="214"/>
      <x:c r="F86" s="214"/>
      <x:c r="G86" s="214"/>
      <x:c r="H86" s="214"/>
      <x:c r="I86" s="214"/>
      <x:c r="J86" s="214"/>
      <x:c r="K86" s="214"/>
    </x:row>
    <x:row r="87">
      <x:c r="A87" s="214"/>
      <x:c r="B87" s="214"/>
      <x:c r="C87" s="214"/>
      <x:c r="D87" s="214"/>
      <x:c r="E87" s="214"/>
      <x:c r="F87" s="214"/>
      <x:c r="G87" s="214"/>
      <x:c r="H87" s="214"/>
      <x:c r="I87" s="214"/>
      <x:c r="J87" s="214"/>
      <x:c r="K87" s="214"/>
    </x:row>
    <x:row r="88">
      <x:c r="A88" s="214"/>
      <x:c r="B88" s="214"/>
      <x:c r="C88" s="214"/>
      <x:c r="D88" s="214"/>
      <x:c r="E88" s="214"/>
      <x:c r="F88" s="214"/>
      <x:c r="G88" s="214"/>
      <x:c r="H88" s="214"/>
      <x:c r="I88" s="214"/>
      <x:c r="J88" s="214"/>
      <x:c r="K88" s="214"/>
    </x:row>
    <x:row r="89">
      <x:c r="A89" s="214"/>
      <x:c r="B89" s="214"/>
      <x:c r="C89" s="214"/>
      <x:c r="D89" s="214"/>
      <x:c r="E89" s="214"/>
      <x:c r="F89" s="214"/>
      <x:c r="G89" s="214"/>
      <x:c r="H89" s="214"/>
      <x:c r="I89" s="214"/>
      <x:c r="J89" s="214"/>
      <x:c r="K89" s="214"/>
    </x:row>
    <x:row r="90">
      <x:c r="A90" s="214"/>
      <x:c r="B90" s="214"/>
      <x:c r="C90" s="214"/>
      <x:c r="D90" s="214"/>
      <x:c r="E90" s="214"/>
      <x:c r="F90" s="214"/>
      <x:c r="G90" s="214"/>
      <x:c r="H90" s="214"/>
      <x:c r="I90" s="214"/>
      <x:c r="J90" s="214"/>
      <x:c r="K90" s="214"/>
    </x:row>
    <x:row r="91">
      <x:c r="A91" s="214"/>
      <x:c r="B91" s="214"/>
      <x:c r="C91" s="214"/>
      <x:c r="D91" s="214"/>
      <x:c r="E91" s="214"/>
      <x:c r="F91" s="214"/>
      <x:c r="G91" s="214"/>
      <x:c r="H91" s="214"/>
      <x:c r="I91" s="214"/>
      <x:c r="J91" s="214"/>
      <x:c r="K91" s="214"/>
    </x:row>
    <x:row r="92">
      <x:c r="A92" s="214"/>
      <x:c r="B92" s="214"/>
      <x:c r="C92" s="214"/>
      <x:c r="D92" s="214"/>
      <x:c r="E92" s="214"/>
      <x:c r="F92" s="214"/>
      <x:c r="G92" s="214"/>
      <x:c r="H92" s="214"/>
      <x:c r="I92" s="214"/>
      <x:c r="J92" s="214"/>
      <x:c r="K92" s="214"/>
    </x:row>
    <x:row r="93">
      <x:c r="A93" s="214"/>
      <x:c r="B93" s="214"/>
      <x:c r="C93" s="214"/>
      <x:c r="D93" s="214"/>
      <x:c r="E93" s="214"/>
      <x:c r="F93" s="214"/>
      <x:c r="G93" s="214"/>
      <x:c r="H93" s="214"/>
      <x:c r="I93" s="214"/>
      <x:c r="J93" s="214"/>
      <x:c r="K93" s="214"/>
    </x:row>
    <x:row r="94">
      <x:c r="A94" s="214"/>
      <x:c r="B94" s="214"/>
      <x:c r="C94" s="214"/>
      <x:c r="D94" s="214"/>
      <x:c r="E94" s="214"/>
      <x:c r="F94" s="214"/>
      <x:c r="G94" s="214"/>
      <x:c r="H94" s="214"/>
      <x:c r="I94" s="214"/>
      <x:c r="J94" s="214"/>
      <x:c r="K94" s="214"/>
    </x:row>
    <x:row r="95">
      <x:c r="A95" s="214"/>
      <x:c r="B95" s="214"/>
      <x:c r="C95" s="214"/>
      <x:c r="D95" s="214"/>
      <x:c r="E95" s="214"/>
      <x:c r="F95" s="214"/>
      <x:c r="G95" s="214"/>
      <x:c r="H95" s="214"/>
      <x:c r="I95" s="214"/>
      <x:c r="J95" s="214"/>
      <x:c r="K95" s="214"/>
    </x:row>
    <x:row r="96">
      <x:c r="A96" s="214"/>
      <x:c r="B96" s="214"/>
      <x:c r="C96" s="214"/>
      <x:c r="D96" s="214"/>
      <x:c r="E96" s="214"/>
      <x:c r="F96" s="214"/>
      <x:c r="G96" s="214"/>
      <x:c r="H96" s="214"/>
      <x:c r="I96" s="214"/>
      <x:c r="J96" s="214"/>
      <x:c r="K96" s="214"/>
    </x:row>
    <x:row r="97">
      <x:c r="A97" s="214"/>
      <x:c r="B97" s="214"/>
      <x:c r="C97" s="214"/>
      <x:c r="D97" s="214"/>
      <x:c r="E97" s="214"/>
      <x:c r="F97" s="214"/>
      <x:c r="G97" s="214"/>
      <x:c r="H97" s="214"/>
      <x:c r="I97" s="214"/>
      <x:c r="J97" s="214"/>
      <x:c r="K97" s="214"/>
    </x:row>
    <x:row r="98">
      <x:c r="A98" s="214"/>
      <x:c r="B98" s="214"/>
      <x:c r="C98" s="214"/>
      <x:c r="D98" s="214"/>
      <x:c r="E98" s="214"/>
      <x:c r="F98" s="214"/>
      <x:c r="G98" s="214"/>
      <x:c r="H98" s="214"/>
      <x:c r="I98" s="214"/>
      <x:c r="J98" s="214"/>
      <x:c r="K98" s="214"/>
    </x:row>
    <x:row r="99">
      <x:c r="A99" s="214"/>
      <x:c r="B99" s="214"/>
      <x:c r="C99" s="214"/>
      <x:c r="D99" s="214"/>
      <x:c r="E99" s="214"/>
      <x:c r="F99" s="214"/>
      <x:c r="G99" s="214"/>
      <x:c r="H99" s="214"/>
      <x:c r="I99" s="214"/>
      <x:c r="J99" s="214"/>
      <x:c r="K99" s="214"/>
    </x:row>
    <x:row r="100">
      <x:c r="A100" s="214"/>
      <x:c r="B100" s="214"/>
      <x:c r="C100" s="214"/>
      <x:c r="D100" s="214"/>
      <x:c r="E100" s="214"/>
      <x:c r="F100" s="214"/>
      <x:c r="G100" s="214"/>
      <x:c r="H100" s="214"/>
      <x:c r="I100" s="214"/>
      <x:c r="J100" s="214"/>
      <x:c r="K100" s="214"/>
    </x:row>
    <x:row r="101">
      <x:c r="A101" s="214"/>
      <x:c r="B101" s="214"/>
      <x:c r="C101" s="214"/>
      <x:c r="D101" s="214"/>
      <x:c r="E101" s="214"/>
      <x:c r="F101" s="214"/>
      <x:c r="G101" s="214"/>
      <x:c r="H101" s="214"/>
      <x:c r="I101" s="214"/>
      <x:c r="J101" s="214"/>
      <x:c r="K101" s="214"/>
    </x:row>
    <x:row r="102">
      <x:c r="A102" s="214"/>
      <x:c r="B102" s="214"/>
      <x:c r="C102" s="214"/>
      <x:c r="D102" s="214"/>
      <x:c r="E102" s="214"/>
      <x:c r="F102" s="214"/>
      <x:c r="G102" s="214"/>
      <x:c r="H102" s="214"/>
      <x:c r="I102" s="214"/>
      <x:c r="J102" s="214"/>
      <x:c r="K102" s="214"/>
    </x:row>
    <x:row r="103">
      <x:c r="A103" s="214"/>
      <x:c r="B103" s="214"/>
      <x:c r="C103" s="214"/>
      <x:c r="D103" s="214"/>
      <x:c r="E103" s="214"/>
      <x:c r="F103" s="214"/>
      <x:c r="G103" s="214"/>
      <x:c r="H103" s="214"/>
      <x:c r="I103" s="214"/>
      <x:c r="J103" s="214"/>
      <x:c r="K103" s="214"/>
    </x:row>
    <x:row r="104">
      <x:c r="A104" s="214"/>
      <x:c r="B104" s="214"/>
      <x:c r="C104" s="214"/>
      <x:c r="D104" s="214"/>
      <x:c r="E104" s="214"/>
      <x:c r="F104" s="214"/>
      <x:c r="G104" s="214"/>
      <x:c r="H104" s="214"/>
      <x:c r="I104" s="214"/>
      <x:c r="J104" s="214"/>
      <x:c r="K104" s="214"/>
    </x:row>
    <x:row r="105">
      <x:c r="A105" s="214"/>
      <x:c r="B105" s="214"/>
      <x:c r="C105" s="214"/>
      <x:c r="D105" s="214"/>
      <x:c r="E105" s="214"/>
      <x:c r="F105" s="214"/>
      <x:c r="G105" s="214"/>
      <x:c r="H105" s="214"/>
      <x:c r="I105" s="214"/>
      <x:c r="J105" s="214"/>
      <x:c r="K105" s="214"/>
    </x:row>
    <x:row r="106">
      <x:c r="A106" s="214"/>
      <x:c r="B106" s="214"/>
      <x:c r="C106" s="214"/>
      <x:c r="D106" s="214"/>
      <x:c r="E106" s="214"/>
      <x:c r="F106" s="214"/>
      <x:c r="G106" s="214"/>
      <x:c r="H106" s="214"/>
      <x:c r="I106" s="214"/>
      <x:c r="J106" s="214"/>
      <x:c r="K106" s="214"/>
    </x:row>
    <x:row r="107">
      <x:c r="A107" s="214"/>
      <x:c r="B107" s="214"/>
      <x:c r="C107" s="214"/>
      <x:c r="D107" s="214"/>
      <x:c r="E107" s="214"/>
      <x:c r="F107" s="214"/>
      <x:c r="G107" s="214"/>
      <x:c r="H107" s="214"/>
      <x:c r="I107" s="214"/>
      <x:c r="J107" s="214"/>
      <x:c r="K107" s="214"/>
    </x:row>
    <x:row r="108">
      <x:c r="A108" s="214"/>
      <x:c r="B108" s="214"/>
      <x:c r="C108" s="214"/>
      <x:c r="D108" s="214"/>
      <x:c r="E108" s="214"/>
      <x:c r="F108" s="214"/>
      <x:c r="G108" s="214"/>
      <x:c r="H108" s="214"/>
      <x:c r="I108" s="214"/>
      <x:c r="J108" s="214"/>
      <x:c r="K108" s="214"/>
    </x:row>
    <x:row r="109">
      <x:c r="A109" s="214"/>
      <x:c r="B109" s="214"/>
      <x:c r="C109" s="214"/>
      <x:c r="D109" s="214"/>
      <x:c r="E109" s="214"/>
      <x:c r="F109" s="214"/>
      <x:c r="G109" s="214"/>
      <x:c r="H109" s="214"/>
      <x:c r="I109" s="214"/>
      <x:c r="J109" s="214"/>
      <x:c r="K109" s="214"/>
    </x:row>
    <x:row r="110">
      <x:c r="A110" s="214"/>
      <x:c r="B110" s="214"/>
      <x:c r="C110" s="214"/>
      <x:c r="D110" s="214"/>
      <x:c r="E110" s="214"/>
      <x:c r="F110" s="214"/>
      <x:c r="G110" s="214"/>
      <x:c r="H110" s="214"/>
      <x:c r="I110" s="214"/>
      <x:c r="J110" s="214"/>
      <x:c r="K110" s="214"/>
    </x:row>
    <x:row r="111">
      <x:c r="A111" s="214"/>
      <x:c r="B111" s="214"/>
      <x:c r="C111" s="214"/>
      <x:c r="D111" s="214"/>
      <x:c r="E111" s="214"/>
      <x:c r="F111" s="214"/>
      <x:c r="G111" s="214"/>
      <x:c r="H111" s="214"/>
      <x:c r="I111" s="214"/>
      <x:c r="J111" s="214"/>
      <x:c r="K111" s="214"/>
    </x:row>
    <x:row r="112">
      <x:c r="A112" s="214"/>
      <x:c r="B112" s="214"/>
      <x:c r="C112" s="214"/>
      <x:c r="D112" s="214"/>
      <x:c r="E112" s="214"/>
      <x:c r="F112" s="214"/>
      <x:c r="G112" s="214"/>
      <x:c r="H112" s="214"/>
      <x:c r="I112" s="214"/>
      <x:c r="J112" s="214"/>
      <x:c r="K112" s="214"/>
    </x:row>
    <x:row r="113">
      <x:c r="A113" s="214"/>
      <x:c r="B113" s="214"/>
      <x:c r="C113" s="214"/>
      <x:c r="D113" s="214"/>
      <x:c r="E113" s="214"/>
      <x:c r="F113" s="214"/>
      <x:c r="G113" s="214"/>
      <x:c r="H113" s="214"/>
      <x:c r="I113" s="214"/>
      <x:c r="J113" s="214"/>
      <x:c r="K113" s="214"/>
    </x:row>
    <x:row r="114">
      <x:c r="A114" s="214"/>
      <x:c r="B114" s="214"/>
      <x:c r="C114" s="214"/>
      <x:c r="D114" s="214"/>
      <x:c r="E114" s="214"/>
      <x:c r="F114" s="214"/>
      <x:c r="G114" s="214"/>
      <x:c r="H114" s="214"/>
      <x:c r="I114" s="214"/>
      <x:c r="J114" s="214"/>
      <x:c r="K114" s="214"/>
    </x:row>
    <x:row r="115">
      <x:c r="A115" s="214"/>
      <x:c r="B115" s="214"/>
      <x:c r="C115" s="214"/>
      <x:c r="D115" s="214"/>
      <x:c r="E115" s="214"/>
      <x:c r="F115" s="214"/>
      <x:c r="G115" s="214"/>
      <x:c r="H115" s="214"/>
      <x:c r="I115" s="214"/>
      <x:c r="J115" s="214"/>
      <x:c r="K115" s="214"/>
    </x:row>
    <x:row r="116">
      <x:c r="A116" s="214"/>
      <x:c r="B116" s="214"/>
      <x:c r="C116" s="214"/>
      <x:c r="D116" s="214"/>
      <x:c r="E116" s="214"/>
      <x:c r="F116" s="214"/>
      <x:c r="G116" s="214"/>
      <x:c r="H116" s="214"/>
      <x:c r="I116" s="214"/>
      <x:c r="J116" s="214"/>
      <x:c r="K116" s="214"/>
    </x:row>
    <x:row r="117">
      <x:c r="A117" s="214"/>
      <x:c r="B117" s="214"/>
      <x:c r="C117" s="214"/>
      <x:c r="D117" s="214"/>
      <x:c r="E117" s="214"/>
      <x:c r="F117" s="214"/>
      <x:c r="G117" s="214"/>
      <x:c r="H117" s="214"/>
      <x:c r="I117" s="214"/>
      <x:c r="J117" s="214"/>
      <x:c r="K117" s="214"/>
    </x:row>
    <x:row r="118">
      <x:c r="A118" s="214"/>
      <x:c r="B118" s="214"/>
      <x:c r="C118" s="214"/>
      <x:c r="D118" s="214"/>
      <x:c r="E118" s="214"/>
      <x:c r="F118" s="214"/>
      <x:c r="G118" s="214"/>
      <x:c r="H118" s="214"/>
      <x:c r="I118" s="214"/>
      <x:c r="J118" s="214"/>
      <x:c r="K118" s="214"/>
    </x:row>
    <x:row r="119">
      <x:c r="A119" s="214"/>
      <x:c r="B119" s="214"/>
      <x:c r="C119" s="214"/>
      <x:c r="D119" s="214"/>
      <x:c r="E119" s="214"/>
      <x:c r="F119" s="214"/>
      <x:c r="G119" s="214"/>
      <x:c r="H119" s="214"/>
      <x:c r="I119" s="214"/>
      <x:c r="J119" s="214"/>
      <x:c r="K119" s="214"/>
    </x:row>
    <x:row r="120">
      <x:c r="A120" s="214"/>
      <x:c r="B120" s="214"/>
      <x:c r="C120" s="214"/>
      <x:c r="D120" s="214"/>
      <x:c r="E120" s="214"/>
      <x:c r="F120" s="214"/>
      <x:c r="G120" s="214"/>
      <x:c r="H120" s="214"/>
      <x:c r="I120" s="214"/>
      <x:c r="J120" s="214"/>
      <x:c r="K120" s="214"/>
    </x:row>
    <x:row r="121">
      <x:c r="A121" s="214"/>
      <x:c r="B121" s="214"/>
      <x:c r="C121" s="214"/>
      <x:c r="D121" s="214"/>
      <x:c r="E121" s="214"/>
      <x:c r="F121" s="214"/>
      <x:c r="G121" s="214"/>
      <x:c r="H121" s="214"/>
      <x:c r="I121" s="214"/>
      <x:c r="J121" s="214"/>
      <x:c r="K121" s="214"/>
    </x:row>
    <x:row r="122">
      <x:c r="A122" s="214"/>
      <x:c r="B122" s="214"/>
      <x:c r="C122" s="214"/>
      <x:c r="D122" s="214"/>
      <x:c r="E122" s="214"/>
      <x:c r="F122" s="214"/>
      <x:c r="G122" s="214"/>
      <x:c r="H122" s="214"/>
      <x:c r="I122" s="214"/>
      <x:c r="J122" s="214"/>
      <x:c r="K122" s="214"/>
    </x:row>
    <x:row r="123">
      <x:c r="A123" s="214"/>
      <x:c r="B123" s="214"/>
      <x:c r="C123" s="214"/>
      <x:c r="D123" s="214"/>
      <x:c r="E123" s="214"/>
      <x:c r="F123" s="214"/>
      <x:c r="G123" s="214"/>
      <x:c r="H123" s="214"/>
      <x:c r="I123" s="214"/>
      <x:c r="J123" s="214"/>
      <x:c r="K123" s="214"/>
    </x:row>
    <x:row r="124">
      <x:c r="A124" s="214"/>
      <x:c r="B124" s="214"/>
      <x:c r="C124" s="214"/>
      <x:c r="D124" s="214"/>
      <x:c r="E124" s="214"/>
      <x:c r="F124" s="214"/>
      <x:c r="G124" s="214"/>
      <x:c r="H124" s="214"/>
      <x:c r="I124" s="214"/>
      <x:c r="J124" s="214"/>
      <x:c r="K124" s="214"/>
    </x:row>
    <x:row r="125">
      <x:c r="A125" s="214"/>
      <x:c r="B125" s="214"/>
      <x:c r="C125" s="214"/>
      <x:c r="D125" s="214"/>
      <x:c r="E125" s="214"/>
      <x:c r="F125" s="214"/>
      <x:c r="G125" s="214"/>
      <x:c r="H125" s="214"/>
      <x:c r="I125" s="214"/>
      <x:c r="J125" s="214"/>
      <x:c r="K125" s="214"/>
    </x:row>
    <x:row r="126">
      <x:c r="A126" s="214"/>
      <x:c r="B126" s="214"/>
      <x:c r="C126" s="214"/>
      <x:c r="D126" s="214"/>
      <x:c r="E126" s="214"/>
      <x:c r="F126" s="214"/>
      <x:c r="G126" s="214"/>
      <x:c r="H126" s="214"/>
      <x:c r="I126" s="214"/>
      <x:c r="J126" s="214"/>
      <x:c r="K126" s="214"/>
    </x:row>
    <x:row r="127">
      <x:c r="A127" s="214"/>
      <x:c r="B127" s="214"/>
      <x:c r="C127" s="214"/>
      <x:c r="D127" s="214"/>
      <x:c r="E127" s="214"/>
      <x:c r="F127" s="214"/>
      <x:c r="G127" s="214"/>
      <x:c r="H127" s="214"/>
      <x:c r="I127" s="214"/>
      <x:c r="J127" s="214"/>
      <x:c r="K127" s="214"/>
    </x:row>
    <x:row r="128">
      <x:c r="A128" s="214"/>
      <x:c r="B128" s="214"/>
      <x:c r="C128" s="214"/>
      <x:c r="D128" s="214"/>
      <x:c r="E128" s="214"/>
      <x:c r="F128" s="214"/>
      <x:c r="G128" s="214"/>
      <x:c r="H128" s="214"/>
      <x:c r="I128" s="214"/>
      <x:c r="J128" s="214"/>
      <x:c r="K128" s="214"/>
    </x:row>
    <x:row r="129">
      <x:c r="A129" s="214"/>
      <x:c r="B129" s="214"/>
      <x:c r="C129" s="214"/>
      <x:c r="D129" s="214"/>
      <x:c r="E129" s="214"/>
      <x:c r="F129" s="214"/>
      <x:c r="G129" s="214"/>
      <x:c r="H129" s="214"/>
      <x:c r="I129" s="214"/>
      <x:c r="J129" s="214"/>
      <x:c r="K129" s="214"/>
    </x:row>
    <x:row r="130">
      <x:c r="A130" s="214"/>
      <x:c r="B130" s="214"/>
      <x:c r="C130" s="214"/>
      <x:c r="D130" s="214"/>
      <x:c r="E130" s="214"/>
      <x:c r="F130" s="214"/>
      <x:c r="G130" s="214"/>
      <x:c r="H130" s="214"/>
      <x:c r="I130" s="214"/>
      <x:c r="J130" s="214"/>
      <x:c r="K130" s="214"/>
    </x:row>
    <x:row r="131">
      <x:c r="A131" s="214"/>
      <x:c r="B131" s="214"/>
      <x:c r="C131" s="214"/>
      <x:c r="D131" s="214"/>
      <x:c r="E131" s="214"/>
      <x:c r="F131" s="214"/>
      <x:c r="G131" s="214"/>
      <x:c r="H131" s="214"/>
      <x:c r="I131" s="214"/>
      <x:c r="J131" s="214"/>
      <x:c r="K131" s="214"/>
    </x:row>
    <x:row r="132">
      <x:c r="A132" s="214"/>
      <x:c r="B132" s="214"/>
      <x:c r="C132" s="214"/>
      <x:c r="D132" s="214"/>
      <x:c r="E132" s="214"/>
      <x:c r="F132" s="214"/>
      <x:c r="G132" s="214"/>
      <x:c r="H132" s="214"/>
      <x:c r="I132" s="214"/>
      <x:c r="J132" s="214"/>
      <x:c r="K132" s="214"/>
    </x:row>
    <x:row r="133">
      <x:c r="A133" s="214"/>
      <x:c r="B133" s="214"/>
      <x:c r="C133" s="214"/>
      <x:c r="D133" s="214"/>
      <x:c r="E133" s="214"/>
      <x:c r="F133" s="214"/>
      <x:c r="G133" s="214"/>
      <x:c r="H133" s="214"/>
      <x:c r="I133" s="214"/>
      <x:c r="J133" s="214"/>
      <x:c r="K133" s="214"/>
    </x:row>
    <x:row r="134">
      <x:c r="A134" s="214"/>
      <x:c r="B134" s="214"/>
      <x:c r="C134" s="214"/>
      <x:c r="D134" s="214"/>
      <x:c r="E134" s="214"/>
      <x:c r="F134" s="214"/>
      <x:c r="G134" s="214"/>
      <x:c r="H134" s="214"/>
      <x:c r="I134" s="214"/>
      <x:c r="J134" s="214"/>
      <x:c r="K134" s="214"/>
    </x:row>
    <x:row r="135">
      <x:c r="A135" s="214"/>
      <x:c r="B135" s="214"/>
      <x:c r="C135" s="214"/>
      <x:c r="D135" s="214"/>
      <x:c r="E135" s="214"/>
      <x:c r="F135" s="214"/>
      <x:c r="G135" s="214"/>
      <x:c r="H135" s="214"/>
      <x:c r="I135" s="214"/>
      <x:c r="J135" s="214"/>
      <x:c r="K135" s="214"/>
    </x:row>
    <x:row r="136">
      <x:c r="A136" s="214"/>
      <x:c r="B136" s="214"/>
      <x:c r="C136" s="214"/>
      <x:c r="D136" s="214"/>
      <x:c r="E136" s="214"/>
      <x:c r="F136" s="214"/>
      <x:c r="G136" s="214"/>
      <x:c r="H136" s="214"/>
      <x:c r="I136" s="214"/>
      <x:c r="J136" s="214"/>
      <x:c r="K136" s="214"/>
    </x:row>
    <x:row r="137">
      <x:c r="A137" s="214"/>
      <x:c r="B137" s="214"/>
      <x:c r="C137" s="214"/>
      <x:c r="D137" s="214"/>
      <x:c r="E137" s="214"/>
      <x:c r="F137" s="214"/>
      <x:c r="G137" s="214"/>
      <x:c r="H137" s="214"/>
      <x:c r="I137" s="214"/>
      <x:c r="J137" s="214"/>
      <x:c r="K137" s="214"/>
    </x:row>
    <x:row r="138">
      <x:c r="A138" s="214"/>
      <x:c r="B138" s="214"/>
      <x:c r="C138" s="214"/>
      <x:c r="D138" s="214"/>
      <x:c r="E138" s="214"/>
      <x:c r="F138" s="214"/>
      <x:c r="G138" s="214"/>
      <x:c r="H138" s="214"/>
      <x:c r="I138" s="214"/>
      <x:c r="J138" s="214"/>
      <x:c r="K138" s="214"/>
    </x:row>
    <x:row r="139">
      <x:c r="A139" s="214"/>
      <x:c r="B139" s="214"/>
      <x:c r="C139" s="214"/>
      <x:c r="D139" s="214"/>
      <x:c r="E139" s="214"/>
      <x:c r="F139" s="214"/>
      <x:c r="G139" s="214"/>
      <x:c r="H139" s="214"/>
      <x:c r="I139" s="214"/>
      <x:c r="J139" s="214"/>
      <x:c r="K139" s="214"/>
    </x:row>
    <x:row r="140">
      <x:c r="A140" s="214"/>
      <x:c r="B140" s="214"/>
      <x:c r="C140" s="214"/>
      <x:c r="D140" s="214"/>
      <x:c r="E140" s="214"/>
      <x:c r="F140" s="214"/>
      <x:c r="G140" s="214"/>
      <x:c r="H140" s="214"/>
      <x:c r="I140" s="214"/>
      <x:c r="J140" s="214"/>
      <x:c r="K140" s="214"/>
    </x:row>
    <x:row r="141">
      <x:c r="A141" s="214"/>
      <x:c r="B141" s="214"/>
      <x:c r="C141" s="214"/>
      <x:c r="D141" s="214"/>
      <x:c r="E141" s="214"/>
      <x:c r="F141" s="214"/>
      <x:c r="G141" s="214"/>
      <x:c r="H141" s="214"/>
      <x:c r="I141" s="214"/>
      <x:c r="J141" s="214"/>
      <x:c r="K141" s="214"/>
    </x:row>
    <x:row r="142">
      <x:c r="A142" s="214"/>
      <x:c r="B142" s="214"/>
      <x:c r="C142" s="214"/>
      <x:c r="D142" s="214"/>
      <x:c r="E142" s="214"/>
      <x:c r="F142" s="214"/>
      <x:c r="G142" s="214"/>
      <x:c r="H142" s="214"/>
      <x:c r="I142" s="214"/>
      <x:c r="J142" s="214"/>
      <x:c r="K142" s="214"/>
    </x:row>
    <x:row r="143">
      <x:c r="A143" s="214"/>
      <x:c r="B143" s="214"/>
      <x:c r="C143" s="214"/>
      <x:c r="D143" s="214"/>
      <x:c r="E143" s="214"/>
      <x:c r="F143" s="214"/>
      <x:c r="G143" s="214"/>
      <x:c r="H143" s="214"/>
      <x:c r="I143" s="214"/>
      <x:c r="J143" s="214"/>
      <x:c r="K143" s="214"/>
    </x:row>
    <x:row r="144">
      <x:c r="A144" s="214"/>
      <x:c r="B144" s="214"/>
      <x:c r="C144" s="214"/>
      <x:c r="D144" s="214"/>
      <x:c r="E144" s="214"/>
      <x:c r="F144" s="214"/>
      <x:c r="G144" s="214"/>
      <x:c r="H144" s="214"/>
      <x:c r="I144" s="214"/>
      <x:c r="J144" s="214"/>
      <x:c r="K144" s="214"/>
    </x:row>
    <x:row r="145">
      <x:c r="A145" s="214"/>
      <x:c r="B145" s="214"/>
      <x:c r="C145" s="214"/>
      <x:c r="D145" s="214"/>
      <x:c r="E145" s="214"/>
      <x:c r="F145" s="214"/>
      <x:c r="G145" s="214"/>
      <x:c r="H145" s="214"/>
      <x:c r="I145" s="214"/>
      <x:c r="J145" s="214"/>
      <x:c r="K145" s="214"/>
    </x:row>
    <x:row r="146">
      <x:c r="A146" s="214"/>
      <x:c r="B146" s="214"/>
      <x:c r="C146" s="214"/>
      <x:c r="D146" s="214"/>
      <x:c r="E146" s="214"/>
      <x:c r="F146" s="214"/>
      <x:c r="G146" s="214"/>
      <x:c r="H146" s="214"/>
      <x:c r="I146" s="214"/>
      <x:c r="J146" s="214"/>
      <x:c r="K146" s="214"/>
    </x:row>
    <x:row r="147">
      <x:c r="A147" s="214"/>
      <x:c r="B147" s="214"/>
      <x:c r="C147" s="214"/>
      <x:c r="D147" s="214"/>
      <x:c r="E147" s="214"/>
      <x:c r="F147" s="214"/>
      <x:c r="G147" s="214"/>
      <x:c r="H147" s="214"/>
      <x:c r="I147" s="214"/>
      <x:c r="J147" s="214"/>
      <x:c r="K147" s="214"/>
    </x:row>
    <x:row r="148">
      <x:c r="A148" s="214"/>
      <x:c r="B148" s="214"/>
      <x:c r="C148" s="214"/>
      <x:c r="D148" s="214"/>
      <x:c r="E148" s="214"/>
      <x:c r="F148" s="214"/>
      <x:c r="G148" s="214"/>
      <x:c r="H148" s="214"/>
      <x:c r="I148" s="214"/>
      <x:c r="J148" s="214"/>
      <x:c r="K148" s="214"/>
    </x:row>
    <x:row r="149">
      <x:c r="A149" s="214"/>
      <x:c r="B149" s="214"/>
      <x:c r="C149" s="214"/>
      <x:c r="D149" s="214"/>
      <x:c r="E149" s="214"/>
      <x:c r="F149" s="214"/>
      <x:c r="G149" s="214"/>
      <x:c r="H149" s="214"/>
      <x:c r="I149" s="214"/>
      <x:c r="J149" s="214"/>
      <x:c r="K149" s="214"/>
    </x:row>
    <x:row r="150">
      <x:c r="A150" s="214"/>
      <x:c r="B150" s="214"/>
      <x:c r="C150" s="214"/>
      <x:c r="D150" s="214"/>
      <x:c r="E150" s="214"/>
      <x:c r="F150" s="214"/>
      <x:c r="G150" s="214"/>
      <x:c r="H150" s="214"/>
      <x:c r="I150" s="214"/>
      <x:c r="J150" s="214"/>
      <x:c r="K150" s="214"/>
    </x:row>
    <x:row r="151">
      <x:c r="A151" s="214"/>
      <x:c r="B151" s="214"/>
      <x:c r="C151" s="214"/>
      <x:c r="D151" s="214"/>
      <x:c r="E151" s="214"/>
      <x:c r="F151" s="214"/>
      <x:c r="G151" s="214"/>
      <x:c r="H151" s="214"/>
      <x:c r="I151" s="214"/>
      <x:c r="J151" s="214"/>
      <x:c r="K151" s="214"/>
    </x:row>
    <x:row r="152">
      <x:c r="A152" s="214"/>
      <x:c r="B152" s="214"/>
      <x:c r="C152" s="214"/>
      <x:c r="D152" s="214"/>
      <x:c r="E152" s="214"/>
      <x:c r="F152" s="214"/>
      <x:c r="G152" s="214"/>
      <x:c r="H152" s="214"/>
      <x:c r="I152" s="214"/>
      <x:c r="J152" s="214"/>
      <x:c r="K152" s="214"/>
    </x:row>
    <x:row r="153">
      <x:c r="A153" s="214"/>
      <x:c r="B153" s="214"/>
      <x:c r="C153" s="214"/>
      <x:c r="D153" s="214"/>
      <x:c r="E153" s="214"/>
      <x:c r="F153" s="214"/>
      <x:c r="G153" s="214"/>
      <x:c r="H153" s="214"/>
      <x:c r="I153" s="214"/>
      <x:c r="J153" s="214"/>
      <x:c r="K153" s="214"/>
    </x:row>
    <x:row r="154">
      <x:c r="A154" s="214"/>
      <x:c r="B154" s="214"/>
      <x:c r="C154" s="214"/>
      <x:c r="D154" s="214"/>
      <x:c r="E154" s="214"/>
      <x:c r="F154" s="214"/>
      <x:c r="G154" s="214"/>
      <x:c r="H154" s="214"/>
      <x:c r="I154" s="214"/>
      <x:c r="J154" s="214"/>
      <x:c r="K154" s="214"/>
    </x:row>
    <x:row r="155">
      <x:c r="A155" s="214"/>
      <x:c r="B155" s="214"/>
      <x:c r="C155" s="214"/>
      <x:c r="D155" s="214"/>
      <x:c r="E155" s="214"/>
      <x:c r="F155" s="214"/>
      <x:c r="G155" s="214"/>
      <x:c r="H155" s="214"/>
      <x:c r="I155" s="214"/>
      <x:c r="J155" s="214"/>
      <x:c r="K155" s="214"/>
    </x:row>
    <x:row r="156">
      <x:c r="A156" s="214"/>
      <x:c r="B156" s="214"/>
      <x:c r="C156" s="214"/>
      <x:c r="D156" s="214"/>
      <x:c r="E156" s="214"/>
      <x:c r="F156" s="214"/>
      <x:c r="G156" s="214"/>
      <x:c r="H156" s="214"/>
      <x:c r="I156" s="214"/>
      <x:c r="J156" s="214"/>
      <x:c r="K156" s="214"/>
    </x:row>
    <x:row r="157">
      <x:c r="A157" s="214"/>
      <x:c r="B157" s="214"/>
      <x:c r="C157" s="214"/>
      <x:c r="D157" s="214"/>
      <x:c r="E157" s="214"/>
      <x:c r="F157" s="214"/>
      <x:c r="G157" s="214"/>
      <x:c r="H157" s="214"/>
      <x:c r="I157" s="214"/>
      <x:c r="J157" s="214"/>
      <x:c r="K157" s="214"/>
    </x:row>
    <x:row r="158">
      <x:c r="A158" s="214"/>
      <x:c r="B158" s="214"/>
      <x:c r="C158" s="214"/>
      <x:c r="D158" s="214"/>
      <x:c r="E158" s="214"/>
      <x:c r="F158" s="214"/>
      <x:c r="G158" s="214"/>
      <x:c r="H158" s="214"/>
      <x:c r="I158" s="214"/>
      <x:c r="J158" s="214"/>
      <x:c r="K158" s="214"/>
    </x:row>
    <x:row r="159">
      <x:c r="A159" s="214"/>
      <x:c r="B159" s="214"/>
      <x:c r="C159" s="214"/>
      <x:c r="D159" s="214"/>
      <x:c r="E159" s="214"/>
      <x:c r="F159" s="214"/>
      <x:c r="G159" s="214"/>
      <x:c r="H159" s="214"/>
      <x:c r="I159" s="214"/>
      <x:c r="J159" s="214"/>
      <x:c r="K159" s="214"/>
    </x:row>
    <x:row r="160">
      <x:c r="A160" s="214"/>
      <x:c r="B160" s="214"/>
      <x:c r="C160" s="214"/>
      <x:c r="D160" s="214"/>
      <x:c r="E160" s="214"/>
      <x:c r="F160" s="214"/>
      <x:c r="G160" s="214"/>
      <x:c r="H160" s="214"/>
      <x:c r="I160" s="214"/>
      <x:c r="J160" s="214"/>
      <x:c r="K160" s="214"/>
    </x:row>
    <x:row r="161">
      <x:c r="A161" s="214"/>
      <x:c r="B161" s="214"/>
      <x:c r="C161" s="214"/>
      <x:c r="D161" s="214"/>
      <x:c r="E161" s="214"/>
      <x:c r="F161" s="214"/>
      <x:c r="G161" s="214"/>
      <x:c r="H161" s="214"/>
      <x:c r="I161" s="214"/>
      <x:c r="J161" s="214"/>
      <x:c r="K161" s="214"/>
    </x:row>
    <x:row r="162">
      <x:c r="A162" s="214"/>
      <x:c r="B162" s="214"/>
      <x:c r="C162" s="214"/>
      <x:c r="D162" s="214"/>
      <x:c r="E162" s="214"/>
      <x:c r="F162" s="214"/>
      <x:c r="G162" s="214"/>
      <x:c r="H162" s="214"/>
      <x:c r="I162" s="214"/>
      <x:c r="J162" s="214"/>
      <x:c r="K162" s="214"/>
    </x:row>
    <x:row r="163">
      <x:c r="A163" s="214"/>
      <x:c r="B163" s="214"/>
      <x:c r="C163" s="214"/>
      <x:c r="D163" s="214"/>
      <x:c r="E163" s="214"/>
      <x:c r="F163" s="214"/>
      <x:c r="G163" s="214"/>
      <x:c r="H163" s="214"/>
      <x:c r="I163" s="214"/>
      <x:c r="J163" s="214"/>
      <x:c r="K163" s="214"/>
    </x:row>
    <x:row r="164">
      <x:c r="A164" s="214"/>
      <x:c r="B164" s="214"/>
      <x:c r="C164" s="214"/>
      <x:c r="D164" s="214"/>
      <x:c r="E164" s="214"/>
      <x:c r="F164" s="214"/>
      <x:c r="G164" s="214"/>
      <x:c r="H164" s="214"/>
      <x:c r="I164" s="214"/>
      <x:c r="J164" s="214"/>
      <x:c r="K164" s="214"/>
    </x:row>
    <x:row r="165">
      <x:c r="A165" s="214"/>
      <x:c r="B165" s="214"/>
      <x:c r="C165" s="214"/>
      <x:c r="D165" s="214"/>
      <x:c r="E165" s="214"/>
      <x:c r="F165" s="214"/>
      <x:c r="G165" s="214"/>
      <x:c r="H165" s="214"/>
      <x:c r="I165" s="214"/>
      <x:c r="J165" s="214"/>
      <x:c r="K165" s="214"/>
    </x:row>
    <x:row r="166">
      <x:c r="A166" s="214"/>
      <x:c r="B166" s="214"/>
      <x:c r="C166" s="214"/>
      <x:c r="D166" s="214"/>
      <x:c r="E166" s="214"/>
      <x:c r="F166" s="214"/>
      <x:c r="G166" s="214"/>
      <x:c r="H166" s="214"/>
      <x:c r="I166" s="214"/>
      <x:c r="J166" s="214"/>
      <x:c r="K166" s="214"/>
    </x:row>
    <x:row r="167">
      <x:c r="A167" s="214"/>
      <x:c r="B167" s="214"/>
      <x:c r="C167" s="214"/>
      <x:c r="D167" s="214"/>
      <x:c r="E167" s="214"/>
      <x:c r="F167" s="214"/>
      <x:c r="G167" s="214"/>
      <x:c r="H167" s="214"/>
      <x:c r="I167" s="214"/>
      <x:c r="J167" s="214"/>
      <x:c r="K167" s="214"/>
    </x:row>
    <x:row r="168">
      <x:c r="A168" s="214"/>
      <x:c r="B168" s="214"/>
      <x:c r="C168" s="214"/>
      <x:c r="D168" s="214"/>
      <x:c r="E168" s="214"/>
      <x:c r="F168" s="214"/>
      <x:c r="G168" s="214"/>
      <x:c r="H168" s="214"/>
      <x:c r="I168" s="214"/>
      <x:c r="J168" s="214"/>
      <x:c r="K168" s="214"/>
    </x:row>
    <x:row r="169">
      <x:c r="A169" s="214"/>
      <x:c r="B169" s="214"/>
      <x:c r="C169" s="214"/>
      <x:c r="D169" s="214"/>
      <x:c r="E169" s="214"/>
      <x:c r="F169" s="214"/>
      <x:c r="G169" s="214"/>
      <x:c r="H169" s="214"/>
      <x:c r="I169" s="214"/>
      <x:c r="J169" s="214"/>
      <x:c r="K169" s="214"/>
    </x:row>
    <x:row r="170">
      <x:c r="A170" s="214"/>
      <x:c r="B170" s="214"/>
      <x:c r="C170" s="214"/>
      <x:c r="D170" s="214"/>
      <x:c r="E170" s="214"/>
      <x:c r="F170" s="214"/>
      <x:c r="G170" s="214"/>
      <x:c r="H170" s="214"/>
      <x:c r="I170" s="214"/>
      <x:c r="J170" s="214"/>
      <x:c r="K170" s="214"/>
    </x:row>
    <x:row r="171">
      <x:c r="A171" s="214"/>
      <x:c r="B171" s="214"/>
      <x:c r="C171" s="214"/>
      <x:c r="D171" s="214"/>
      <x:c r="E171" s="214"/>
      <x:c r="F171" s="214"/>
      <x:c r="G171" s="214"/>
      <x:c r="H171" s="214"/>
      <x:c r="I171" s="214"/>
      <x:c r="J171" s="214"/>
      <x:c r="K171" s="214"/>
    </x:row>
    <x:row r="172">
      <x:c r="A172" s="214"/>
      <x:c r="B172" s="214"/>
      <x:c r="C172" s="214"/>
      <x:c r="D172" s="214"/>
      <x:c r="E172" s="214"/>
      <x:c r="F172" s="214"/>
      <x:c r="G172" s="214"/>
      <x:c r="H172" s="214"/>
      <x:c r="I172" s="214"/>
      <x:c r="J172" s="214"/>
      <x:c r="K172" s="214"/>
    </x:row>
    <x:row r="173">
      <x:c r="A173" s="214"/>
      <x:c r="B173" s="214"/>
      <x:c r="C173" s="214"/>
      <x:c r="D173" s="214"/>
      <x:c r="E173" s="214"/>
      <x:c r="F173" s="214"/>
      <x:c r="G173" s="214"/>
      <x:c r="H173" s="214"/>
      <x:c r="I173" s="214"/>
      <x:c r="J173" s="214"/>
      <x:c r="K173" s="214"/>
    </x:row>
    <x:row r="174">
      <x:c r="A174" s="214"/>
      <x:c r="B174" s="214"/>
      <x:c r="C174" s="214"/>
      <x:c r="D174" s="214"/>
      <x:c r="E174" s="214"/>
      <x:c r="F174" s="214"/>
      <x:c r="G174" s="214"/>
      <x:c r="H174" s="214"/>
      <x:c r="I174" s="214"/>
      <x:c r="J174" s="214"/>
      <x:c r="K174" s="214"/>
    </x:row>
    <x:row r="175">
      <x:c r="A175" s="214"/>
      <x:c r="B175" s="214"/>
      <x:c r="C175" s="214"/>
      <x:c r="D175" s="214"/>
      <x:c r="E175" s="214"/>
      <x:c r="F175" s="214"/>
      <x:c r="G175" s="214"/>
      <x:c r="H175" s="214"/>
      <x:c r="I175" s="214"/>
      <x:c r="J175" s="214"/>
      <x:c r="K175" s="214"/>
    </x:row>
    <x:row r="176">
      <x:c r="A176" s="214"/>
      <x:c r="B176" s="214"/>
      <x:c r="C176" s="214"/>
      <x:c r="D176" s="214"/>
      <x:c r="E176" s="214"/>
      <x:c r="F176" s="214"/>
      <x:c r="G176" s="214"/>
      <x:c r="H176" s="214"/>
      <x:c r="I176" s="214"/>
      <x:c r="J176" s="214"/>
      <x:c r="K176" s="214"/>
    </x:row>
    <x:row r="177">
      <x:c r="A177" s="214"/>
      <x:c r="B177" s="214"/>
      <x:c r="C177" s="214"/>
      <x:c r="D177" s="214"/>
      <x:c r="E177" s="214"/>
      <x:c r="F177" s="214"/>
      <x:c r="G177" s="214"/>
      <x:c r="H177" s="214"/>
      <x:c r="I177" s="214"/>
      <x:c r="J177" s="214"/>
      <x:c r="K177" s="214"/>
    </x:row>
    <x:row r="178">
      <x:c r="A178" s="214"/>
      <x:c r="B178" s="214"/>
      <x:c r="C178" s="214"/>
      <x:c r="D178" s="214"/>
      <x:c r="E178" s="214"/>
      <x:c r="F178" s="214"/>
      <x:c r="G178" s="214"/>
      <x:c r="H178" s="214"/>
      <x:c r="I178" s="214"/>
      <x:c r="J178" s="214"/>
      <x:c r="K178" s="214"/>
    </x:row>
    <x:row r="179">
      <x:c r="A179" s="214"/>
      <x:c r="B179" s="214"/>
      <x:c r="C179" s="214"/>
      <x:c r="D179" s="214"/>
      <x:c r="E179" s="214"/>
      <x:c r="F179" s="214"/>
      <x:c r="G179" s="214"/>
      <x:c r="H179" s="214"/>
      <x:c r="I179" s="214"/>
      <x:c r="J179" s="214"/>
      <x:c r="K179" s="214"/>
    </x:row>
    <x:row r="180">
      <x:c r="A180" s="214"/>
      <x:c r="B180" s="214"/>
      <x:c r="C180" s="214"/>
      <x:c r="D180" s="214"/>
      <x:c r="E180" s="214"/>
      <x:c r="F180" s="214"/>
      <x:c r="G180" s="214"/>
      <x:c r="H180" s="214"/>
      <x:c r="I180" s="214"/>
      <x:c r="J180" s="214"/>
      <x:c r="K180" s="214"/>
    </x:row>
    <x:row r="181">
      <x:c r="A181" s="214"/>
      <x:c r="B181" s="214"/>
      <x:c r="C181" s="214"/>
      <x:c r="D181" s="214"/>
      <x:c r="E181" s="214"/>
      <x:c r="F181" s="214"/>
      <x:c r="G181" s="214"/>
      <x:c r="H181" s="214"/>
      <x:c r="I181" s="214"/>
      <x:c r="J181" s="214"/>
      <x:c r="K181" s="214"/>
    </x:row>
    <x:row r="182">
      <x:c r="A182" s="214"/>
      <x:c r="B182" s="214"/>
      <x:c r="C182" s="214"/>
      <x:c r="D182" s="214"/>
      <x:c r="E182" s="214"/>
      <x:c r="F182" s="214"/>
      <x:c r="G182" s="214"/>
      <x:c r="H182" s="214"/>
      <x:c r="I182" s="214"/>
      <x:c r="J182" s="214"/>
      <x:c r="K182" s="214"/>
    </x:row>
    <x:row r="183">
      <x:c r="A183" s="214"/>
      <x:c r="B183" s="214"/>
      <x:c r="C183" s="214"/>
      <x:c r="D183" s="214"/>
      <x:c r="E183" s="214"/>
      <x:c r="F183" s="214"/>
      <x:c r="G183" s="214"/>
      <x:c r="H183" s="214"/>
      <x:c r="I183" s="214"/>
      <x:c r="J183" s="214"/>
      <x:c r="K183" s="214"/>
    </x:row>
    <x:row r="184">
      <x:c r="A184" s="214"/>
      <x:c r="B184" s="214"/>
      <x:c r="C184" s="214"/>
      <x:c r="D184" s="214"/>
      <x:c r="E184" s="214"/>
      <x:c r="F184" s="214"/>
      <x:c r="G184" s="214"/>
      <x:c r="H184" s="214"/>
      <x:c r="I184" s="214"/>
      <x:c r="J184" s="214"/>
      <x:c r="K184" s="214"/>
    </x:row>
    <x:row r="185">
      <x:c r="A185" s="214"/>
      <x:c r="B185" s="214"/>
      <x:c r="C185" s="214"/>
      <x:c r="D185" s="214"/>
      <x:c r="E185" s="214"/>
      <x:c r="F185" s="214"/>
      <x:c r="G185" s="214"/>
      <x:c r="H185" s="214"/>
      <x:c r="I185" s="214"/>
      <x:c r="J185" s="214"/>
      <x:c r="K185" s="214"/>
    </x:row>
    <x:row r="186">
      <x:c r="A186" s="214"/>
      <x:c r="B186" s="214"/>
      <x:c r="C186" s="214"/>
      <x:c r="D186" s="214"/>
      <x:c r="E186" s="214"/>
      <x:c r="F186" s="214"/>
      <x:c r="G186" s="214"/>
      <x:c r="H186" s="214"/>
      <x:c r="I186" s="214"/>
      <x:c r="J186" s="214"/>
      <x:c r="K186" s="214"/>
    </x:row>
    <x:row r="187">
      <x:c r="A187" s="214"/>
      <x:c r="B187" s="214"/>
      <x:c r="C187" s="214"/>
      <x:c r="D187" s="214"/>
      <x:c r="E187" s="214"/>
      <x:c r="F187" s="214"/>
      <x:c r="G187" s="214"/>
      <x:c r="H187" s="214"/>
      <x:c r="I187" s="214"/>
      <x:c r="J187" s="214"/>
      <x:c r="K187" s="214"/>
    </x:row>
    <x:row r="188">
      <x:c r="A188" s="214"/>
      <x:c r="B188" s="214"/>
      <x:c r="C188" s="214"/>
      <x:c r="D188" s="214"/>
      <x:c r="E188" s="214"/>
      <x:c r="F188" s="214"/>
      <x:c r="G188" s="214"/>
      <x:c r="H188" s="214"/>
      <x:c r="I188" s="214"/>
      <x:c r="J188" s="214"/>
      <x:c r="K188" s="214"/>
    </x:row>
    <x:row r="189">
      <x:c r="A189" s="214"/>
      <x:c r="B189" s="214"/>
      <x:c r="C189" s="214"/>
      <x:c r="D189" s="214"/>
      <x:c r="E189" s="214"/>
      <x:c r="F189" s="214"/>
      <x:c r="G189" s="214"/>
      <x:c r="H189" s="214"/>
      <x:c r="I189" s="214"/>
      <x:c r="J189" s="214"/>
      <x:c r="K189" s="214"/>
    </x:row>
    <x:row r="190">
      <x:c r="A190" s="214"/>
      <x:c r="B190" s="214"/>
      <x:c r="C190" s="214"/>
      <x:c r="D190" s="214"/>
      <x:c r="E190" s="214"/>
      <x:c r="F190" s="214"/>
      <x:c r="G190" s="214"/>
      <x:c r="H190" s="214"/>
      <x:c r="I190" s="214"/>
      <x:c r="J190" s="214"/>
      <x:c r="K190" s="214"/>
    </x:row>
    <x:row r="191">
      <x:c r="A191" s="214"/>
      <x:c r="B191" s="214"/>
      <x:c r="C191" s="214"/>
      <x:c r="D191" s="214"/>
      <x:c r="E191" s="214"/>
      <x:c r="F191" s="214"/>
      <x:c r="G191" s="214"/>
      <x:c r="H191" s="214"/>
      <x:c r="I191" s="214"/>
      <x:c r="J191" s="214"/>
      <x:c r="K191" s="214"/>
    </x:row>
    <x:row r="192">
      <x:c r="A192" s="214"/>
      <x:c r="B192" s="214"/>
      <x:c r="C192" s="214"/>
      <x:c r="D192" s="214"/>
      <x:c r="E192" s="214"/>
      <x:c r="F192" s="214"/>
      <x:c r="G192" s="214"/>
      <x:c r="H192" s="214"/>
      <x:c r="I192" s="214"/>
      <x:c r="J192" s="214"/>
      <x:c r="K192" s="214"/>
    </x:row>
    <x:row r="193">
      <x:c r="A193" s="214"/>
      <x:c r="B193" s="214"/>
      <x:c r="C193" s="214"/>
      <x:c r="D193" s="214"/>
      <x:c r="E193" s="214"/>
      <x:c r="F193" s="214"/>
      <x:c r="G193" s="214"/>
      <x:c r="H193" s="214"/>
      <x:c r="I193" s="214"/>
      <x:c r="J193" s="214"/>
      <x:c r="K193" s="214"/>
    </x:row>
    <x:row r="194">
      <x:c r="A194" s="214"/>
      <x:c r="B194" s="214"/>
      <x:c r="C194" s="214"/>
      <x:c r="D194" s="214"/>
      <x:c r="E194" s="214"/>
      <x:c r="F194" s="214"/>
      <x:c r="G194" s="214"/>
      <x:c r="H194" s="214"/>
      <x:c r="I194" s="214"/>
      <x:c r="J194" s="214"/>
      <x:c r="K194" s="214"/>
    </x:row>
    <x:row r="195">
      <x:c r="A195" s="214"/>
      <x:c r="B195" s="214"/>
      <x:c r="C195" s="214"/>
      <x:c r="D195" s="214"/>
      <x:c r="E195" s="214"/>
      <x:c r="F195" s="214"/>
      <x:c r="G195" s="214"/>
      <x:c r="H195" s="214"/>
      <x:c r="I195" s="214"/>
      <x:c r="J195" s="214"/>
      <x:c r="K195" s="214"/>
    </x:row>
    <x:row r="196">
      <x:c r="A196" s="214"/>
      <x:c r="B196" s="214"/>
      <x:c r="C196" s="214"/>
      <x:c r="D196" s="214"/>
      <x:c r="E196" s="214"/>
      <x:c r="F196" s="214"/>
      <x:c r="G196" s="214"/>
      <x:c r="H196" s="214"/>
      <x:c r="I196" s="214"/>
      <x:c r="J196" s="214"/>
      <x:c r="K196" s="214"/>
    </x:row>
    <x:row r="197">
      <x:c r="A197" s="214"/>
      <x:c r="B197" s="214"/>
      <x:c r="C197" s="214"/>
      <x:c r="D197" s="214"/>
      <x:c r="E197" s="214"/>
      <x:c r="F197" s="214"/>
      <x:c r="G197" s="214"/>
      <x:c r="H197" s="214"/>
      <x:c r="I197" s="214"/>
      <x:c r="J197" s="214"/>
      <x:c r="K197" s="214"/>
    </x:row>
    <x:row r="198">
      <x:c r="A198" s="214"/>
      <x:c r="B198" s="214"/>
      <x:c r="C198" s="214"/>
      <x:c r="D198" s="214"/>
      <x:c r="E198" s="214"/>
      <x:c r="F198" s="214"/>
      <x:c r="G198" s="214"/>
      <x:c r="H198" s="214"/>
      <x:c r="I198" s="214"/>
      <x:c r="J198" s="214"/>
      <x:c r="K198" s="214"/>
    </x:row>
    <x:row r="199">
      <x:c r="A199" s="214"/>
      <x:c r="B199" s="214"/>
      <x:c r="C199" s="214"/>
      <x:c r="D199" s="214"/>
      <x:c r="E199" s="214"/>
      <x:c r="F199" s="214"/>
      <x:c r="G199" s="214"/>
      <x:c r="H199" s="214"/>
      <x:c r="I199" s="214"/>
      <x:c r="J199" s="214"/>
      <x:c r="K199" s="214"/>
    </x:row>
    <x:row r="200">
      <x:c r="A200" s="214"/>
      <x:c r="B200" s="214"/>
      <x:c r="C200" s="214"/>
      <x:c r="D200" s="214"/>
      <x:c r="E200" s="214"/>
      <x:c r="F200" s="214"/>
      <x:c r="G200" s="214"/>
      <x:c r="H200" s="214"/>
      <x:c r="I200" s="214"/>
      <x:c r="J200" s="214"/>
      <x:c r="K200" s="214"/>
    </x:row>
    <x:row r="201">
      <x:c r="A201" s="214"/>
      <x:c r="B201" s="214"/>
      <x:c r="C201" s="214"/>
      <x:c r="D201" s="214"/>
      <x:c r="E201" s="214"/>
      <x:c r="F201" s="214"/>
      <x:c r="G201" s="214"/>
      <x:c r="H201" s="214"/>
      <x:c r="I201" s="214"/>
      <x:c r="J201" s="214"/>
      <x:c r="K201" s="214"/>
    </x:row>
    <x:row r="202">
      <x:c r="A202" s="214"/>
      <x:c r="B202" s="214"/>
      <x:c r="C202" s="214"/>
      <x:c r="D202" s="214"/>
      <x:c r="E202" s="214"/>
      <x:c r="F202" s="214"/>
      <x:c r="G202" s="214"/>
      <x:c r="H202" s="214"/>
      <x:c r="I202" s="214"/>
      <x:c r="J202" s="214"/>
      <x:c r="K202" s="214"/>
    </x:row>
    <x:row r="203">
      <x:c r="A203" s="214"/>
      <x:c r="B203" s="214"/>
      <x:c r="C203" s="214"/>
      <x:c r="D203" s="214"/>
      <x:c r="E203" s="214"/>
      <x:c r="F203" s="214"/>
      <x:c r="G203" s="214"/>
      <x:c r="H203" s="214"/>
      <x:c r="I203" s="214"/>
      <x:c r="J203" s="214"/>
      <x:c r="K203" s="214"/>
    </x:row>
    <x:row r="204">
      <x:c r="A204" s="214"/>
      <x:c r="B204" s="214"/>
      <x:c r="C204" s="214"/>
      <x:c r="D204" s="214"/>
      <x:c r="E204" s="214"/>
      <x:c r="F204" s="214"/>
      <x:c r="G204" s="214"/>
      <x:c r="H204" s="214"/>
      <x:c r="I204" s="214"/>
      <x:c r="J204" s="214"/>
      <x:c r="K204" s="214"/>
    </x:row>
    <x:row r="205">
      <x:c r="A205" s="214"/>
      <x:c r="B205" s="214"/>
      <x:c r="C205" s="214"/>
      <x:c r="D205" s="214"/>
      <x:c r="E205" s="214"/>
      <x:c r="F205" s="214"/>
      <x:c r="G205" s="214"/>
      <x:c r="H205" s="214"/>
      <x:c r="I205" s="214"/>
      <x:c r="J205" s="214"/>
      <x:c r="K205" s="214"/>
    </x:row>
    <x:row r="206">
      <x:c r="A206" s="214"/>
      <x:c r="B206" s="214"/>
      <x:c r="C206" s="214"/>
      <x:c r="D206" s="214"/>
      <x:c r="E206" s="214"/>
      <x:c r="F206" s="214"/>
      <x:c r="G206" s="214"/>
      <x:c r="H206" s="214"/>
      <x:c r="I206" s="214"/>
      <x:c r="J206" s="214"/>
      <x:c r="K206" s="214"/>
    </x:row>
    <x:row r="207">
      <x:c r="A207" s="214"/>
      <x:c r="B207" s="214"/>
      <x:c r="C207" s="214"/>
      <x:c r="D207" s="214"/>
      <x:c r="E207" s="214"/>
      <x:c r="F207" s="214"/>
      <x:c r="G207" s="214"/>
      <x:c r="H207" s="214"/>
      <x:c r="I207" s="214"/>
      <x:c r="J207" s="214"/>
      <x:c r="K207" s="214"/>
    </x:row>
    <x:row r="208">
      <x:c r="A208" s="214"/>
      <x:c r="B208" s="214"/>
      <x:c r="C208" s="214"/>
      <x:c r="D208" s="214"/>
      <x:c r="E208" s="214"/>
      <x:c r="F208" s="214"/>
      <x:c r="G208" s="214"/>
      <x:c r="H208" s="214"/>
      <x:c r="I208" s="214"/>
      <x:c r="J208" s="214"/>
      <x:c r="K208" s="214"/>
    </x:row>
    <x:row r="209">
      <x:c r="A209" s="214"/>
      <x:c r="B209" s="214"/>
      <x:c r="C209" s="214"/>
      <x:c r="D209" s="214"/>
      <x:c r="E209" s="214"/>
      <x:c r="F209" s="214"/>
      <x:c r="G209" s="214"/>
      <x:c r="H209" s="214"/>
      <x:c r="I209" s="214"/>
      <x:c r="J209" s="214"/>
      <x:c r="K209" s="214"/>
    </x:row>
    <x:row r="210">
      <x:c r="A210" s="214"/>
      <x:c r="B210" s="214"/>
      <x:c r="C210" s="214"/>
      <x:c r="D210" s="214"/>
      <x:c r="E210" s="214"/>
      <x:c r="F210" s="214"/>
      <x:c r="G210" s="214"/>
      <x:c r="H210" s="214"/>
      <x:c r="I210" s="214"/>
      <x:c r="J210" s="214"/>
      <x:c r="K210" s="214"/>
    </x:row>
    <x:row r="211">
      <x:c r="A211" s="214"/>
      <x:c r="B211" s="214"/>
      <x:c r="C211" s="214"/>
      <x:c r="D211" s="214"/>
      <x:c r="E211" s="214"/>
      <x:c r="F211" s="214"/>
      <x:c r="G211" s="214"/>
      <x:c r="H211" s="214"/>
      <x:c r="I211" s="214"/>
      <x:c r="J211" s="214"/>
      <x:c r="K211" s="214"/>
    </x:row>
    <x:row r="212">
      <x:c r="A212" s="214"/>
      <x:c r="B212" s="214"/>
      <x:c r="C212" s="214"/>
      <x:c r="D212" s="214"/>
      <x:c r="E212" s="214"/>
      <x:c r="F212" s="214"/>
      <x:c r="G212" s="214"/>
      <x:c r="H212" s="214"/>
      <x:c r="I212" s="214"/>
      <x:c r="J212" s="214"/>
      <x:c r="K212" s="214"/>
    </x:row>
    <x:row r="213">
      <x:c r="A213" s="214"/>
      <x:c r="B213" s="214"/>
      <x:c r="C213" s="214"/>
      <x:c r="D213" s="214"/>
      <x:c r="E213" s="214"/>
      <x:c r="F213" s="214"/>
      <x:c r="G213" s="214"/>
      <x:c r="H213" s="214"/>
      <x:c r="I213" s="214"/>
      <x:c r="J213" s="214"/>
      <x:c r="K213" s="214"/>
    </x:row>
    <x:row r="214">
      <x:c r="A214" s="214"/>
      <x:c r="B214" s="214"/>
      <x:c r="C214" s="214"/>
      <x:c r="D214" s="214"/>
      <x:c r="E214" s="214"/>
      <x:c r="F214" s="214"/>
      <x:c r="G214" s="214"/>
      <x:c r="H214" s="214"/>
      <x:c r="I214" s="214"/>
      <x:c r="J214" s="214"/>
      <x:c r="K214" s="214"/>
    </x:row>
    <x:row r="215">
      <x:c r="A215" s="214"/>
      <x:c r="B215" s="214"/>
      <x:c r="C215" s="214"/>
      <x:c r="D215" s="214"/>
      <x:c r="E215" s="214"/>
      <x:c r="F215" s="214"/>
      <x:c r="G215" s="214"/>
      <x:c r="H215" s="214"/>
      <x:c r="I215" s="214"/>
      <x:c r="J215" s="214"/>
      <x:c r="K215" s="214"/>
    </x:row>
    <x:row r="216">
      <x:c r="A216" s="214"/>
      <x:c r="B216" s="214"/>
      <x:c r="C216" s="214"/>
      <x:c r="D216" s="214"/>
      <x:c r="E216" s="214"/>
      <x:c r="F216" s="214"/>
      <x:c r="G216" s="214"/>
      <x:c r="H216" s="214"/>
      <x:c r="I216" s="214"/>
      <x:c r="J216" s="214"/>
      <x:c r="K216" s="214"/>
    </x:row>
    <x:row r="217">
      <x:c r="A217" s="214"/>
      <x:c r="B217" s="214"/>
      <x:c r="C217" s="214"/>
      <x:c r="D217" s="214"/>
      <x:c r="E217" s="214"/>
      <x:c r="F217" s="214"/>
      <x:c r="G217" s="214"/>
      <x:c r="H217" s="214"/>
      <x:c r="I217" s="214"/>
      <x:c r="J217" s="214"/>
      <x:c r="K217" s="214"/>
    </x:row>
    <x:row r="218">
      <x:c r="A218" s="214"/>
      <x:c r="B218" s="214"/>
      <x:c r="C218" s="214"/>
      <x:c r="D218" s="214"/>
      <x:c r="E218" s="214"/>
      <x:c r="F218" s="214"/>
      <x:c r="G218" s="214"/>
      <x:c r="H218" s="214"/>
      <x:c r="I218" s="214"/>
      <x:c r="J218" s="214"/>
      <x:c r="K218" s="214"/>
    </x:row>
    <x:row r="219">
      <x:c r="A219" s="214"/>
      <x:c r="B219" s="214"/>
      <x:c r="C219" s="214"/>
      <x:c r="D219" s="214"/>
      <x:c r="E219" s="214"/>
      <x:c r="F219" s="214"/>
      <x:c r="G219" s="214"/>
      <x:c r="H219" s="214"/>
      <x:c r="I219" s="214"/>
      <x:c r="J219" s="214"/>
      <x:c r="K219" s="214"/>
    </x:row>
    <x:row r="220">
      <x:c r="A220" s="214"/>
      <x:c r="B220" s="214"/>
      <x:c r="C220" s="214"/>
      <x:c r="D220" s="214"/>
      <x:c r="E220" s="214"/>
      <x:c r="F220" s="214"/>
      <x:c r="G220" s="214"/>
      <x:c r="H220" s="214"/>
      <x:c r="I220" s="214"/>
      <x:c r="J220" s="214"/>
      <x:c r="K220" s="214"/>
    </x:row>
  </x:sheetData>
  <x:mergeCells>
    <x:mergeCell ref="A1:F2"/>
    <x:mergeCell ref="A3:F4"/>
    <x:mergeCell ref="A5:F6"/>
    <x:mergeCell ref="A24:F25"/>
    <x:mergeCell ref="A27:F28"/>
    <x:mergeCell ref="B30:F31"/>
    <x:mergeCell ref="M3:T4"/>
    <x:mergeCell ref="M5:T6"/>
  </x:mergeCells>
  <x:conditionalFormatting sqref="D9:D21">
    <x:cfRule type="dataBar" priority="1">
      <x:dataBar>
        <x:cfvo type="min"/>
        <x:cfvo type="max"/>
        <x:color rgb="FF00A3B5"/>
      </x:dataBar>
    </x:cfRule>
  </x:conditionalFormatting>
  <x:hyperlinks>
    <x:hyperlink xmlns:r="http://schemas.openxmlformats.org/officeDocument/2006/relationships" ref="J9" r:id="Rd396e310cf5b4382"/>
    <x:hyperlink xmlns:r="http://schemas.openxmlformats.org/officeDocument/2006/relationships" ref="J10" r:id="Rce83031a918f440e"/>
    <x:hyperlink xmlns:r="http://schemas.openxmlformats.org/officeDocument/2006/relationships" ref="J11" r:id="R15baa2205a614da1"/>
    <x:hyperlink xmlns:r="http://schemas.openxmlformats.org/officeDocument/2006/relationships" ref="J12" r:id="R5f488b4415044978"/>
    <x:hyperlink xmlns:r="http://schemas.openxmlformats.org/officeDocument/2006/relationships" ref="J13" r:id="Rb7a1ffe4af58434f"/>
    <x:hyperlink xmlns:r="http://schemas.openxmlformats.org/officeDocument/2006/relationships" ref="J14" r:id="R1879078bd0954b27"/>
    <x:hyperlink xmlns:r="http://schemas.openxmlformats.org/officeDocument/2006/relationships" ref="J15" r:id="R1ea4dc5658dd417e"/>
    <x:hyperlink xmlns:r="http://schemas.openxmlformats.org/officeDocument/2006/relationships" ref="J16" r:id="R539eba1fa5684482"/>
    <x:hyperlink xmlns:r="http://schemas.openxmlformats.org/officeDocument/2006/relationships" ref="J17" r:id="R0bed339d36bc4aac"/>
    <x:hyperlink xmlns:r="http://schemas.openxmlformats.org/officeDocument/2006/relationships" ref="J18" r:id="R78edcf16de7e44fa"/>
    <x:hyperlink xmlns:r="http://schemas.openxmlformats.org/officeDocument/2006/relationships" ref="J19" r:id="R78303ee0018e4428"/>
    <x:hyperlink xmlns:r="http://schemas.openxmlformats.org/officeDocument/2006/relationships" ref="J20" r:id="R21d7746531c34874"/>
    <x:hyperlink xmlns:r="http://schemas.openxmlformats.org/officeDocument/2006/relationships" ref="J21" r:id="R6e4d1dc584de446d"/>
    <x:hyperlink xmlns:r="http://schemas.openxmlformats.org/officeDocument/2006/relationships" ref="B30" r:id="R2c13a7553f7b43d6"/>
  </x:hyperlinks>
  <x:pageMargins left="0.7" right="0.7" top="0.75" bottom="0.75" header="0.3" footer="0.3"/>
  <x:tableParts count="1">
    <x:tablePart xmlns:r="http://schemas.openxmlformats.org/officeDocument/2006/relationships" r:id="R43ab14df2ee04969"/>
  </x:tableParts>
</x:worksheet>
</file>

<file path=xl/worksheets/sheet6.xml><?xml version="1.0" encoding="utf-8"?>
<x:worksheet xmlns:x="http://schemas.openxmlformats.org/spreadsheetml/2006/main">
  <x:sheetPr>
    <x:tabColor rgb="FF00A3B5"/>
  </x:sheetPr>
  <x:sheetViews>
    <x:sheetView showGridLines="0" workbookViewId="0">
      <x:pane xSplit="2" ySplit="8" topLeftCell="C9" activePane="bottomRight" state="frozen"/>
    </x:sheetView>
  </x:sheetViews>
  <x:sheetFormatPr defaultRowHeight="15"/>
  <x:cols>
    <x:col min="1" max="1" width="27.219999313354492" hidden="0" customWidth="1"/>
    <x:col min="2" max="2" width="11.670000076293945" hidden="0" customWidth="1"/>
    <x:col min="3" max="3" width="26.670000076293945" hidden="0" customWidth="1"/>
    <x:col min="4" max="4" width="12.779999732971191" hidden="0" customWidth="1"/>
    <x:col min="5" max="5" width="15" hidden="0" customWidth="1"/>
    <x:col min="6" max="6" width="27.219999313354492" hidden="0" customWidth="1"/>
    <x:col min="7" max="7" width="13.890000343322754" hidden="0" customWidth="1"/>
    <x:col min="8" max="8" width="13.890000343322754" hidden="0" customWidth="1"/>
    <x:col min="9" max="9" width="16.110000610351562" hidden="0" customWidth="1"/>
    <x:col min="10" max="10" width="17.219999313354492" hidden="0" customWidth="1"/>
    <x:col min="11" max="11" width="17.780000686645508" hidden="0" customWidth="1"/>
    <x:col min="12" max="12" width="17.219999313354492" hidden="0" customWidth="1"/>
    <x:col min="13" max="13" width="12.220000267028809" hidden="0" customWidth="1"/>
    <x:col min="14" max="14" width="45.560001373291016" hidden="0" customWidth="1"/>
    <x:col min="15" max="15" width="38.88999938964844" hidden="0" customWidth="1"/>
    <x:col min="16" max="16" width="36.66999816894531" hidden="0" customWidth="1"/>
  </x:cols>
  <x:sheetData>
    <x:row r="1">
      <x:c r="A1" s="217" t="str">
        <x:v>Illustrative procedure values</x:v>
      </x:c>
      <x:c r="B1" s="217" t="str">
        <x:v>Illustrative procedure values</x:v>
      </x:c>
      <x:c r="C1" s="217" t="str">
        <x:v>Illustrative procedure values</x:v>
      </x:c>
      <x:c r="D1" s="217" t="str">
        <x:v>Illustrative procedure values</x:v>
      </x:c>
      <x:c r="E1" s="217" t="str">
        <x:v>Illustrative procedure values</x:v>
      </x:c>
      <x:c r="F1" s="217" t="str">
        <x:v>Illustrative procedure values</x:v>
      </x:c>
      <x:c r="G1" s="214"/>
      <x:c r="H1" s="214"/>
      <x:c r="I1" s="214"/>
      <x:c r="J1" s="214"/>
      <x:c r="K1" s="214"/>
      <x:c r="L1" s="214"/>
      <x:c r="M1" s="214"/>
      <x:c r="N1" s="214"/>
      <x:c r="O1" s="214"/>
      <x:c r="P1" s="214"/>
    </x:row>
    <x:row r="2">
      <x:c r="A2" s="217" t="str">
        <x:v>Illustrative procedure values</x:v>
      </x:c>
      <x:c r="B2" s="217" t="str">
        <x:v>Illustrative procedure values</x:v>
      </x:c>
      <x:c r="C2" s="217" t="str">
        <x:v>Illustrative procedure values</x:v>
      </x:c>
      <x:c r="D2" s="217" t="str">
        <x:v>Illustrative procedure values</x:v>
      </x:c>
      <x:c r="E2" s="217" t="str">
        <x:v>Illustrative procedure values</x:v>
      </x:c>
      <x:c r="F2" s="217" t="str">
        <x:v>Illustrative procedure values</x:v>
      </x:c>
      <x:c r="G2" s="214"/>
      <x:c r="H2" s="214"/>
      <x:c r="I2" s="214"/>
      <x:c r="J2" s="214"/>
      <x:c r="K2" s="214"/>
      <x:c r="L2" s="214"/>
      <x:c r="M2" s="214"/>
      <x:c r="N2" s="214"/>
      <x:c r="O2" s="214"/>
      <x:c r="P2" s="214"/>
    </x:row>
    <x:row r="3">
      <x:c r="A3" s="220" t="str">
        <x:v>Five published analogous pairs checked against the July 2026 CMS physician fee schedule. RVUs are national values before geographic adjustment. They are not patient costs or proof of coverage.</x:v>
      </x:c>
      <x:c r="B3" s="220" t="str">
        <x:v>Five published analogous pairs checked against the July 2026 CMS physician fee schedule. RVUs are national values before geographic adjustment. They are not patient costs or proof of coverage.</x:v>
      </x:c>
      <x:c r="C3" s="220" t="str">
        <x:v>Five published analogous pairs checked against the July 2026 CMS physician fee schedule. RVUs are national values before geographic adjustment. They are not patient costs or proof of coverage.</x:v>
      </x:c>
      <x:c r="D3" s="220" t="str">
        <x:v>Five published analogous pairs checked against the July 2026 CMS physician fee schedule. RVUs are national values before geographic adjustment. They are not patient costs or proof of coverage.</x:v>
      </x:c>
      <x:c r="E3" s="220" t="str">
        <x:v>Five published analogous pairs checked against the July 2026 CMS physician fee schedule. RVUs are national values before geographic adjustment. They are not patient costs or proof of coverage.</x:v>
      </x:c>
      <x:c r="F3" s="220" t="str">
        <x:v>Five published analogous pairs checked against the July 2026 CMS physician fee schedule. RVUs are national values before geographic adjustment. They are not patient costs or proof of coverage.</x:v>
      </x:c>
      <x:c r="G3" s="214"/>
      <x:c r="H3" s="214"/>
      <x:c r="I3" s="214"/>
      <x:c r="J3" s="214"/>
      <x:c r="K3" s="214"/>
      <x:c r="L3" s="214"/>
      <x:c r="M3" s="214"/>
      <x:c r="N3" s="214"/>
      <x:c r="O3" s="214"/>
      <x:c r="P3" s="214"/>
    </x:row>
    <x:row r="4">
      <x:c r="A4" s="220" t="str">
        <x:v>Five published analogous pairs checked against the July 2026 CMS physician fee schedule. RVUs are national values before geographic adjustment. They are not patient costs or proof of coverage.</x:v>
      </x:c>
      <x:c r="B4" s="220" t="str">
        <x:v>Five published analogous pairs checked against the July 2026 CMS physician fee schedule. RVUs are national values before geographic adjustment. They are not patient costs or proof of coverage.</x:v>
      </x:c>
      <x:c r="C4" s="220" t="str">
        <x:v>Five published analogous pairs checked against the July 2026 CMS physician fee schedule. RVUs are national values before geographic adjustment. They are not patient costs or proof of coverage.</x:v>
      </x:c>
      <x:c r="D4" s="220" t="str">
        <x:v>Five published analogous pairs checked against the July 2026 CMS physician fee schedule. RVUs are national values before geographic adjustment. They are not patient costs or proof of coverage.</x:v>
      </x:c>
      <x:c r="E4" s="220" t="str">
        <x:v>Five published analogous pairs checked against the July 2026 CMS physician fee schedule. RVUs are national values before geographic adjustment. They are not patient costs or proof of coverage.</x:v>
      </x:c>
      <x:c r="F4" s="220" t="str">
        <x:v>Five published analogous pairs checked against the July 2026 CMS physician fee schedule. RVUs are national values before geographic adjustment. They are not patient costs or proof of coverage.</x:v>
      </x:c>
      <x:c r="G4" s="214"/>
      <x:c r="H4" s="214"/>
      <x:c r="I4" s="214"/>
      <x:c r="J4" s="214"/>
      <x:c r="K4" s="214"/>
      <x:c r="L4" s="214"/>
      <x:c r="M4" s="214"/>
      <x:c r="N4" s="214"/>
      <x:c r="O4" s="214"/>
      <x:c r="P4" s="214"/>
    </x:row>
    <x:row r="5">
      <x:c r="A5" s="220" t="str">
        <x:v>Positive differences favor the urologic/other comparator. Negative differences favor the gynecologic comparator. The urinary malignancy code is not restricted to men. This selected subset is not a nationwide bias estimate.</x:v>
      </x:c>
      <x:c r="B5" s="220" t="str">
        <x:v>Positive differences favor the urologic/other comparator. Negative differences favor the gynecologic comparator. The urinary malignancy code is not restricted to men. This selected subset is not a nationwide bias estimate.</x:v>
      </x:c>
      <x:c r="C5" s="220" t="str">
        <x:v>Positive differences favor the urologic/other comparator. Negative differences favor the gynecologic comparator. The urinary malignancy code is not restricted to men. This selected subset is not a nationwide bias estimate.</x:v>
      </x:c>
      <x:c r="D5" s="220" t="str">
        <x:v>Positive differences favor the urologic/other comparator. Negative differences favor the gynecologic comparator. The urinary malignancy code is not restricted to men. This selected subset is not a nationwide bias estimate.</x:v>
      </x:c>
      <x:c r="E5" s="220" t="str">
        <x:v>Positive differences favor the urologic/other comparator. Negative differences favor the gynecologic comparator. The urinary malignancy code is not restricted to men. This selected subset is not a nationwide bias estimate.</x:v>
      </x:c>
      <x:c r="F5" s="220" t="str">
        <x:v>Positive differences favor the urologic/other comparator. Negative differences favor the gynecologic comparator. The urinary malignancy code is not restricted to men. This selected subset is not a nationwide bias estimate.</x:v>
      </x:c>
      <x:c r="G5" s="214"/>
      <x:c r="H5" s="214"/>
      <x:c r="I5" s="214"/>
      <x:c r="J5" s="214"/>
      <x:c r="K5" s="214"/>
      <x:c r="L5" s="214"/>
      <x:c r="M5" s="214"/>
      <x:c r="N5" s="214"/>
      <x:c r="O5" s="214"/>
      <x:c r="P5" s="214"/>
    </x:row>
    <x:row r="6">
      <x:c r="A6" s="220" t="str">
        <x:v>Positive differences favor the urologic/other comparator. Negative differences favor the gynecologic comparator. The urinary malignancy code is not restricted to men. This selected subset is not a nationwide bias estimate.</x:v>
      </x:c>
      <x:c r="B6" s="220" t="str">
        <x:v>Positive differences favor the urologic/other comparator. Negative differences favor the gynecologic comparator. The urinary malignancy code is not restricted to men. This selected subset is not a nationwide bias estimate.</x:v>
      </x:c>
      <x:c r="C6" s="220" t="str">
        <x:v>Positive differences favor the urologic/other comparator. Negative differences favor the gynecologic comparator. The urinary malignancy code is not restricted to men. This selected subset is not a nationwide bias estimate.</x:v>
      </x:c>
      <x:c r="D6" s="220" t="str">
        <x:v>Positive differences favor the urologic/other comparator. Negative differences favor the gynecologic comparator. The urinary malignancy code is not restricted to men. This selected subset is not a nationwide bias estimate.</x:v>
      </x:c>
      <x:c r="E6" s="220" t="str">
        <x:v>Positive differences favor the urologic/other comparator. Negative differences favor the gynecologic comparator. The urinary malignancy code is not restricted to men. This selected subset is not a nationwide bias estimate.</x:v>
      </x:c>
      <x:c r="F6" s="220" t="str">
        <x:v>Positive differences favor the urologic/other comparator. Negative differences favor the gynecologic comparator. The urinary malignancy code is not restricted to men. This selected subset is not a nationwide bias estimate.</x:v>
      </x:c>
      <x:c r="G6" s="214"/>
      <x:c r="H6" s="214"/>
      <x:c r="I6" s="214"/>
      <x:c r="J6" s="214"/>
      <x:c r="K6" s="214"/>
      <x:c r="L6" s="214"/>
      <x:c r="M6" s="214"/>
      <x:c r="N6" s="214"/>
      <x:c r="O6" s="214"/>
      <x:c r="P6" s="214"/>
    </x:row>
    <x:row r="7">
      <x:c r="A7" s="214"/>
      <x:c r="B7" s="214"/>
      <x:c r="C7" s="214"/>
      <x:c r="D7" s="214"/>
      <x:c r="E7" s="214"/>
      <x:c r="F7" s="214"/>
      <x:c r="G7" s="214"/>
      <x:c r="H7" s="214"/>
      <x:c r="I7" s="214"/>
      <x:c r="J7" s="214"/>
      <x:c r="K7" s="214"/>
      <x:c r="L7" s="214"/>
      <x:c r="M7" s="214"/>
      <x:c r="N7" s="214"/>
      <x:c r="O7" s="214"/>
      <x:c r="P7" s="214"/>
    </x:row>
    <x:row r="8" ht="58.5" customHeight="1">
      <x:c r="A8" s="224" t="str">
        <x:v>Procedure pair</x:v>
      </x:c>
      <x:c r="B8" s="224" t="str">
        <x:v>Other CPT</x:v>
      </x:c>
      <x:c r="C8" s="224" t="str">
        <x:v>Urologic / other procedure</x:v>
      </x:c>
      <x:c r="D8" s="224" t="str">
        <x:v>Other work RVU</x:v>
      </x:c>
      <x:c r="E8" s="224" t="str">
        <x:v>Gynecologic CPT</x:v>
      </x:c>
      <x:c r="F8" s="224" t="str">
        <x:v>Gynecologic procedure</x:v>
      </x:c>
      <x:c r="G8" s="224" t="str">
        <x:v>Gynecologic work RVU</x:v>
      </x:c>
      <x:c r="H8" s="224" t="str">
        <x:v>Work RVU difference</x:v>
      </x:c>
      <x:c r="I8" s="224" t="str">
        <x:v>Relative work RVU difference</x:v>
      </x:c>
      <x:c r="J8" s="224" t="str">
        <x:v>Other physician facility RVU</x:v>
      </x:c>
      <x:c r="K8" s="224" t="str">
        <x:v>Gynecologic physician facility RVU</x:v>
      </x:c>
      <x:c r="L8" s="224" t="str">
        <x:v>Relative facility RVU difference</x:v>
      </x:c>
      <x:c r="M8" s="224" t="str">
        <x:v>Global days (both)</x:v>
      </x:c>
      <x:c r="N8" s="224" t="str">
        <x:v>Comparison limits</x:v>
      </x:c>
      <x:c r="O8" s="224" t="str">
        <x:v>CMS source</x:v>
      </x:c>
      <x:c r="P8" s="224" t="str">
        <x:v>Pair-selection source</x:v>
      </x:c>
    </x:row>
    <x:row r="9" ht="117" customHeight="1">
      <x:c r="A9" s="214" t="str">
        <x:v>Urinary incontinence sling placement</x:v>
      </x:c>
      <x:c r="B9" s="246" t="str">
        <x:v>53440</x:v>
      </x:c>
      <x:c r="C9" s="214" t="str">
        <x:v>Male sling placement</x:v>
      </x:c>
      <x:c r="D9" s="248" t="n">
        <x:v>13.03</x:v>
      </x:c>
      <x:c r="E9" s="246" t="str">
        <x:v>57288</x:v>
      </x:c>
      <x:c r="F9" s="214" t="str">
        <x:v>Female stress-incontinence sling placement</x:v>
      </x:c>
      <x:c r="G9" s="248" t="n">
        <x:v>11.83</x:v>
      </x:c>
      <x:c r="H9" s="248" t="n">
        <x:f>D9-G9</x:f>
        <x:v>1.1999999999999993</x:v>
      </x:c>
      <x:c r="I9" s="250" t="n">
        <x:f>H9/G9</x:f>
        <x:v>0.10143702451394752</x:v>
      </x:c>
      <x:c r="J9" s="248" t="n">
        <x:v>20.4</x:v>
      </x:c>
      <x:c r="K9" s="248" t="n">
        <x:v>19.87</x:v>
      </x:c>
      <x:c r="L9" s="250" t="n">
        <x:f>(J9-K9)/K9</x:f>
        <x:v>0.026673376950176023</x:v>
      </x:c>
      <x:c r="M9" s="214" t="str">
        <x:v>090</x:v>
      </x:c>
      <x:c r="N9" s="214" t="str">
        <x:v>Same global period does not establish equal time, intensity, risk or total perioperative work.</x:v>
      </x:c>
      <x:c r="O9" s="214" t="str">
        <x:v>https://www.cms.gov/medicare/payment/fee-schedules/physician/pfs-relative-value-files/rvu26c</x:v>
      </x:c>
      <x:c r="P9" s="214" t="str">
        <x:v>https://pubmed.ncbi.nlm.nih.gov/38758183/</x:v>
      </x:c>
    </x:row>
    <x:row r="10" ht="117" customHeight="1">
      <x:c r="A10" s="225" t="str">
        <x:v>Urinary incontinence sling removal or revision</x:v>
      </x:c>
      <x:c r="B10" s="247" t="str">
        <x:v>53442</x:v>
      </x:c>
      <x:c r="C10" s="225" t="str">
        <x:v>Male sling revision/removal</x:v>
      </x:c>
      <x:c r="D10" s="249" t="n">
        <x:v>13.15</x:v>
      </x:c>
      <x:c r="E10" s="247" t="str">
        <x:v>57287</x:v>
      </x:c>
      <x:c r="F10" s="225" t="str">
        <x:v>Female sling revision/removal</x:v>
      </x:c>
      <x:c r="G10" s="249" t="n">
        <x:v>10.87</x:v>
      </x:c>
      <x:c r="H10" s="249" t="n">
        <x:f>D10-G10</x:f>
        <x:v>2.280000000000001</x:v>
      </x:c>
      <x:c r="I10" s="251" t="n">
        <x:f>H10/G10</x:f>
        <x:v>0.20975160993560268</x:v>
      </x:c>
      <x:c r="J10" s="249" t="n">
        <x:v>21.45</x:v>
      </x:c>
      <x:c r="K10" s="249" t="n">
        <x:v>19.76</x:v>
      </x:c>
      <x:c r="L10" s="251" t="n">
        <x:f>(J10-K10)/K10</x:f>
        <x:v>0.08552631578947356</x:v>
      </x:c>
      <x:c r="M10" s="225" t="str">
        <x:v>090</x:v>
      </x:c>
      <x:c r="N10" s="225" t="str">
        <x:v>Same global period does not establish equal time, intensity, risk or total perioperative work.</x:v>
      </x:c>
      <x:c r="O10" s="225" t="str">
        <x:v>https://www.cms.gov/medicare/payment/fee-schedules/physician/pfs-relative-value-files/rvu26c</x:v>
      </x:c>
      <x:c r="P10" s="225" t="str">
        <x:v>https://pubmed.ncbi.nlm.nih.gov/38758183/</x:v>
      </x:c>
    </x:row>
    <x:row r="11" ht="117" customHeight="1">
      <x:c r="A11" s="214" t="str">
        <x:v>Simple genital lesion destruction</x:v>
      </x:c>
      <x:c r="B11" s="246" t="str">
        <x:v>54050</x:v>
      </x:c>
      <x:c r="C11" s="214" t="str">
        <x:v>Penile lesion chemical treatment</x:v>
      </x:c>
      <x:c r="D11" s="248" t="n">
        <x:v>1.26</x:v>
      </x:c>
      <x:c r="E11" s="246" t="str">
        <x:v>56501</x:v>
      </x:c>
      <x:c r="F11" s="214" t="str">
        <x:v>Simple vulvar lesion treatment</x:v>
      </x:c>
      <x:c r="G11" s="248" t="n">
        <x:v>1.54</x:v>
      </x:c>
      <x:c r="H11" s="248" t="n">
        <x:f>D11-G11</x:f>
        <x:v>-0.28</x:v>
      </x:c>
      <x:c r="I11" s="250" t="n">
        <x:f>H11/G11</x:f>
        <x:v>-0.18181818181818182</x:v>
      </x:c>
      <x:c r="J11" s="248" t="n">
        <x:v>2.9</x:v>
      </x:c>
      <x:c r="K11" s="248" t="n">
        <x:v>3.59</x:v>
      </x:c>
      <x:c r="L11" s="250" t="n">
        <x:f>(J11-K11)/K11</x:f>
        <x:v>-0.19220055710306405</x:v>
      </x:c>
      <x:c r="M11" s="214" t="str">
        <x:v>010</x:v>
      </x:c>
      <x:c r="N11" s="214" t="str">
        <x:v>Penile code specifies chemical treatment. Vulvar code allows broader methods. Compare only equivalent treatment methods.</x:v>
      </x:c>
      <x:c r="O11" s="214" t="str">
        <x:v>https://www.cms.gov/medicare/payment/fee-schedules/physician/pfs-relative-value-files/rvu26c</x:v>
      </x:c>
      <x:c r="P11" s="214" t="str">
        <x:v>https://pubmed.ncbi.nlm.nih.gov/38758183/</x:v>
      </x:c>
    </x:row>
    <x:row r="12" ht="117" customHeight="1">
      <x:c r="A12" s="225" t="str">
        <x:v>Complete external genital excision</x:v>
      </x:c>
      <x:c r="B12" s="247" t="str">
        <x:v>55150</x:v>
      </x:c>
      <x:c r="C12" s="225" t="str">
        <x:v>Scrotal resection</x:v>
      </x:c>
      <x:c r="D12" s="249" t="n">
        <x:v>7.94</x:v>
      </x:c>
      <x:c r="E12" s="247" t="str">
        <x:v>56625</x:v>
      </x:c>
      <x:c r="F12" s="225" t="str">
        <x:v>Complete simple vulvar excision</x:v>
      </x:c>
      <x:c r="G12" s="249" t="n">
        <x:v>9.44</x:v>
      </x:c>
      <x:c r="H12" s="249" t="n">
        <x:f>D12-G12</x:f>
        <x:v>-1.4999999999999991</x:v>
      </x:c>
      <x:c r="I12" s="251" t="n">
        <x:f>H12/G12</x:f>
        <x:v>-0.15889830508474567</x:v>
      </x:c>
      <x:c r="J12" s="249" t="n">
        <x:v>13.64</x:v>
      </x:c>
      <x:c r="K12" s="249" t="n">
        <x:v>18.6</x:v>
      </x:c>
      <x:c r="L12" s="251" t="n">
        <x:f>(J12-K12)/K12</x:f>
        <x:v>-0.2666666666666667</x:v>
      </x:c>
      <x:c r="M12" s="225" t="str">
        <x:v>090</x:v>
      </x:c>
      <x:c r="N12" s="225" t="str">
        <x:v>Same global period does not establish equal time, intensity, risk or total perioperative work.</x:v>
      </x:c>
      <x:c r="O12" s="225" t="str">
        <x:v>https://www.cms.gov/medicare/payment/fee-schedules/physician/pfs-relative-value-files/rvu26c</x:v>
      </x:c>
      <x:c r="P12" s="225" t="str">
        <x:v>https://pubmed.ncbi.nlm.nih.gov/38758183/</x:v>
      </x:c>
    </x:row>
    <x:row r="13" ht="117" customHeight="1">
      <x:c r="A13" s="214" t="str">
        <x:v>Pelvic exenteration for malignancy</x:v>
      </x:c>
      <x:c r="B13" s="246" t="str">
        <x:v>51597</x:v>
      </x:c>
      <x:c r="C13" s="214" t="str">
        <x:v>Exenteration for urinary-organ malignancy</x:v>
      </x:c>
      <x:c r="D13" s="248" t="n">
        <x:v>41.79</x:v>
      </x:c>
      <x:c r="E13" s="246" t="str">
        <x:v>58240</x:v>
      </x:c>
      <x:c r="F13" s="214" t="str">
        <x:v>Exenteration for gynecologic malignancy</x:v>
      </x:c>
      <x:c r="G13" s="248" t="n">
        <x:v>48.1</x:v>
      </x:c>
      <x:c r="H13" s="248" t="n">
        <x:f>D13-G13</x:f>
        <x:v>-6.310000000000002</x:v>
      </x:c>
      <x:c r="I13" s="250" t="n">
        <x:f>H13/G13</x:f>
        <x:v>-0.13118503118503122</x:v>
      </x:c>
      <x:c r="J13" s="248" t="n">
        <x:v>61.08</x:v>
      </x:c>
      <x:c r="K13" s="248" t="n">
        <x:v>80.17</x:v>
      </x:c>
      <x:c r="L13" s="250" t="n">
        <x:f>(J13-K13)/K13</x:f>
        <x:v>-0.23811899713109647</x:v>
      </x:c>
      <x:c r="M13" s="214" t="str">
        <x:v>090</x:v>
      </x:c>
      <x:c r="N13" s="214" t="str">
        <x:v>Urinary-organ malignancy code 51597 is not universally male-only. Procedures may differ in work and extent.</x:v>
      </x:c>
      <x:c r="O13" s="214" t="str">
        <x:v>https://www.cms.gov/medicare/payment/fee-schedules/physician/pfs-relative-value-files/rvu26c</x:v>
      </x:c>
      <x:c r="P13" s="214" t="str">
        <x:v>https://pubmed.ncbi.nlm.nih.gov/38758183/</x:v>
      </x:c>
    </x:row>
    <x:row r="14">
      <x:c r="A14" s="214"/>
      <x:c r="B14" s="214"/>
      <x:c r="C14" s="214"/>
      <x:c r="D14" s="214"/>
      <x:c r="E14" s="214"/>
      <x:c r="F14" s="214"/>
      <x:c r="G14" s="214"/>
      <x:c r="H14" s="214"/>
      <x:c r="I14" s="214"/>
      <x:c r="J14" s="214"/>
      <x:c r="K14" s="214"/>
      <x:c r="L14" s="214"/>
      <x:c r="M14" s="214"/>
      <x:c r="N14" s="214"/>
      <x:c r="O14" s="214"/>
      <x:c r="P14" s="214"/>
    </x:row>
    <x:row r="15">
      <x:c r="A15" s="214"/>
      <x:c r="B15" s="214"/>
      <x:c r="C15" s="214"/>
      <x:c r="D15" s="214"/>
      <x:c r="E15" s="214"/>
      <x:c r="F15" s="214"/>
      <x:c r="G15" s="214"/>
      <x:c r="H15" s="214"/>
      <x:c r="I15" s="214"/>
      <x:c r="J15" s="214"/>
      <x:c r="K15" s="214"/>
      <x:c r="L15" s="214"/>
      <x:c r="M15" s="214"/>
      <x:c r="N15" s="214"/>
      <x:c r="O15" s="214"/>
      <x:c r="P15" s="214"/>
    </x:row>
    <x:row r="16">
      <x:c r="A16" s="220" t="str">
        <x:v>Physician facility RVUs describe the physician service when delivered in a facility. They are not hospital facility payments. Relative difference = (other − gynecologic) ÷ gynecologic value.</x:v>
      </x:c>
      <x:c r="B16" s="220" t="str">
        <x:v>Physician facility RVUs describe the physician service when delivered in a facility. They are not hospital facility payments. Relative difference = (other − gynecologic) ÷ gynecologic value.</x:v>
      </x:c>
      <x:c r="C16" s="220" t="str">
        <x:v>Physician facility RVUs describe the physician service when delivered in a facility. They are not hospital facility payments. Relative difference = (other − gynecologic) ÷ gynecologic value.</x:v>
      </x:c>
      <x:c r="D16" s="220" t="str">
        <x:v>Physician facility RVUs describe the physician service when delivered in a facility. They are not hospital facility payments. Relative difference = (other − gynecologic) ÷ gynecologic value.</x:v>
      </x:c>
      <x:c r="E16" s="220" t="str">
        <x:v>Physician facility RVUs describe the physician service when delivered in a facility. They are not hospital facility payments. Relative difference = (other − gynecologic) ÷ gynecologic value.</x:v>
      </x:c>
      <x:c r="F16" s="220" t="str">
        <x:v>Physician facility RVUs describe the physician service when delivered in a facility. They are not hospital facility payments. Relative difference = (other − gynecologic) ÷ gynecologic value.</x:v>
      </x:c>
      <x:c r="G16" s="214"/>
      <x:c r="H16" s="214"/>
      <x:c r="I16" s="214"/>
      <x:c r="J16" s="214"/>
      <x:c r="K16" s="214"/>
      <x:c r="L16" s="214"/>
      <x:c r="M16" s="214"/>
      <x:c r="N16" s="214"/>
      <x:c r="O16" s="214"/>
      <x:c r="P16" s="214"/>
    </x:row>
    <x:row r="17">
      <x:c r="A17" s="220" t="str">
        <x:v>Physician facility RVUs describe the physician service when delivered in a facility. They are not hospital facility payments. Relative difference = (other − gynecologic) ÷ gynecologic value.</x:v>
      </x:c>
      <x:c r="B17" s="220" t="str">
        <x:v>Physician facility RVUs describe the physician service when delivered in a facility. They are not hospital facility payments. Relative difference = (other − gynecologic) ÷ gynecologic value.</x:v>
      </x:c>
      <x:c r="C17" s="220" t="str">
        <x:v>Physician facility RVUs describe the physician service when delivered in a facility. They are not hospital facility payments. Relative difference = (other − gynecologic) ÷ gynecologic value.</x:v>
      </x:c>
      <x:c r="D17" s="220" t="str">
        <x:v>Physician facility RVUs describe the physician service when delivered in a facility. They are not hospital facility payments. Relative difference = (other − gynecologic) ÷ gynecologic value.</x:v>
      </x:c>
      <x:c r="E17" s="220" t="str">
        <x:v>Physician facility RVUs describe the physician service when delivered in a facility. They are not hospital facility payments. Relative difference = (other − gynecologic) ÷ gynecologic value.</x:v>
      </x:c>
      <x:c r="F17" s="220" t="str">
        <x:v>Physician facility RVUs describe the physician service when delivered in a facility. They are not hospital facility payments. Relative difference = (other − gynecologic) ÷ gynecologic value.</x:v>
      </x:c>
      <x:c r="G17" s="214"/>
      <x:c r="H17" s="214"/>
      <x:c r="I17" s="214"/>
      <x:c r="J17" s="214"/>
      <x:c r="K17" s="214"/>
      <x:c r="L17" s="214"/>
      <x:c r="M17" s="214"/>
      <x:c r="N17" s="214"/>
      <x:c r="O17" s="214"/>
      <x:c r="P17" s="214"/>
    </x:row>
    <x:row r="18">
      <x:c r="A18" s="214"/>
      <x:c r="B18" s="214"/>
      <x:c r="C18" s="214"/>
      <x:c r="D18" s="214"/>
      <x:c r="E18" s="214"/>
      <x:c r="F18" s="214"/>
      <x:c r="G18" s="214"/>
      <x:c r="H18" s="214"/>
      <x:c r="I18" s="214"/>
      <x:c r="J18" s="214"/>
      <x:c r="K18" s="214"/>
      <x:c r="L18" s="214"/>
      <x:c r="M18" s="214"/>
      <x:c r="N18" s="214"/>
      <x:c r="O18" s="214"/>
      <x:c r="P18" s="214"/>
    </x:row>
    <x:row r="19">
      <x:c r="A19" s="220" t="str">
        <x:v>Pair selection follows Hathaway et al. (2024). Its 10-pair analysis found no statistically significant overall work-RVU difference. Penn et al. (2025), using 55 pairs, found higher average valuation for male-anatomy procedures. See Literature for limitations.</x:v>
      </x:c>
      <x:c r="B19" s="220" t="str">
        <x:v>Pair selection follows Hathaway et al. (2024). Its 10-pair analysis found no statistically significant overall work-RVU difference. Penn et al. (2025), using 55 pairs, found higher average valuation for male-anatomy procedures. See Literature for limitations.</x:v>
      </x:c>
      <x:c r="C19" s="220" t="str">
        <x:v>Pair selection follows Hathaway et al. (2024). Its 10-pair analysis found no statistically significant overall work-RVU difference. Penn et al. (2025), using 55 pairs, found higher average valuation for male-anatomy procedures. See Literature for limitations.</x:v>
      </x:c>
      <x:c r="D19" s="220" t="str">
        <x:v>Pair selection follows Hathaway et al. (2024). Its 10-pair analysis found no statistically significant overall work-RVU difference. Penn et al. (2025), using 55 pairs, found higher average valuation for male-anatomy procedures. See Literature for limitations.</x:v>
      </x:c>
      <x:c r="E19" s="220" t="str">
        <x:v>Pair selection follows Hathaway et al. (2024). Its 10-pair analysis found no statistically significant overall work-RVU difference. Penn et al. (2025), using 55 pairs, found higher average valuation for male-anatomy procedures. See Literature for limitations.</x:v>
      </x:c>
      <x:c r="F19" s="220" t="str">
        <x:v>Pair selection follows Hathaway et al. (2024). Its 10-pair analysis found no statistically significant overall work-RVU difference. Penn et al. (2025), using 55 pairs, found higher average valuation for male-anatomy procedures. See Literature for limitations.</x:v>
      </x:c>
      <x:c r="G19" s="214"/>
      <x:c r="H19" s="214"/>
      <x:c r="I19" s="214"/>
      <x:c r="J19" s="214"/>
      <x:c r="K19" s="214"/>
      <x:c r="L19" s="214"/>
      <x:c r="M19" s="214"/>
      <x:c r="N19" s="214"/>
      <x:c r="O19" s="214"/>
      <x:c r="P19" s="214"/>
    </x:row>
    <x:row r="20">
      <x:c r="A20" s="220" t="str">
        <x:v>Pair selection follows Hathaway et al. (2024). Its 10-pair analysis found no statistically significant overall work-RVU difference. Penn et al. (2025), using 55 pairs, found higher average valuation for male-anatomy procedures. See Literature for limitations.</x:v>
      </x:c>
      <x:c r="B20" s="220" t="str">
        <x:v>Pair selection follows Hathaway et al. (2024). Its 10-pair analysis found no statistically significant overall work-RVU difference. Penn et al. (2025), using 55 pairs, found higher average valuation for male-anatomy procedures. See Literature for limitations.</x:v>
      </x:c>
      <x:c r="C20" s="220" t="str">
        <x:v>Pair selection follows Hathaway et al. (2024). Its 10-pair analysis found no statistically significant overall work-RVU difference. Penn et al. (2025), using 55 pairs, found higher average valuation for male-anatomy procedures. See Literature for limitations.</x:v>
      </x:c>
      <x:c r="D20" s="220" t="str">
        <x:v>Pair selection follows Hathaway et al. (2024). Its 10-pair analysis found no statistically significant overall work-RVU difference. Penn et al. (2025), using 55 pairs, found higher average valuation for male-anatomy procedures. See Literature for limitations.</x:v>
      </x:c>
      <x:c r="E20" s="220" t="str">
        <x:v>Pair selection follows Hathaway et al. (2024). Its 10-pair analysis found no statistically significant overall work-RVU difference. Penn et al. (2025), using 55 pairs, found higher average valuation for male-anatomy procedures. See Literature for limitations.</x:v>
      </x:c>
      <x:c r="F20" s="220" t="str">
        <x:v>Pair selection follows Hathaway et al. (2024). Its 10-pair analysis found no statistically significant overall work-RVU difference. Penn et al. (2025), using 55 pairs, found higher average valuation for male-anatomy procedures. See Literature for limitations.</x:v>
      </x:c>
      <x:c r="G20" s="214"/>
      <x:c r="H20" s="214"/>
      <x:c r="I20" s="214"/>
      <x:c r="J20" s="214"/>
      <x:c r="K20" s="214"/>
      <x:c r="L20" s="214"/>
      <x:c r="M20" s="214"/>
      <x:c r="N20" s="214"/>
      <x:c r="O20" s="214"/>
      <x:c r="P20" s="214"/>
    </x:row>
    <x:row r="21">
      <x:c r="A21" s="214"/>
      <x:c r="B21" s="214"/>
      <x:c r="C21" s="214"/>
      <x:c r="D21" s="214"/>
      <x:c r="E21" s="214"/>
      <x:c r="F21" s="214"/>
      <x:c r="G21" s="214"/>
      <x:c r="H21" s="214"/>
      <x:c r="I21" s="214"/>
      <x:c r="J21" s="214"/>
      <x:c r="K21" s="214"/>
      <x:c r="L21" s="214"/>
      <x:c r="M21" s="214"/>
      <x:c r="N21" s="214"/>
      <x:c r="O21" s="214"/>
      <x:c r="P21" s="214"/>
    </x:row>
    <x:row r="22">
      <x:c r="A22" s="214"/>
      <x:c r="B22" s="214"/>
      <x:c r="C22" s="214"/>
      <x:c r="D22" s="214"/>
      <x:c r="E22" s="214"/>
      <x:c r="F22" s="214"/>
      <x:c r="G22" s="214"/>
      <x:c r="H22" s="214"/>
      <x:c r="I22" s="214"/>
      <x:c r="J22" s="214"/>
      <x:c r="K22" s="214"/>
      <x:c r="L22" s="214"/>
      <x:c r="M22" s="214"/>
      <x:c r="N22" s="214"/>
      <x:c r="O22" s="214"/>
      <x:c r="P22" s="214"/>
    </x:row>
    <x:row r="23">
      <x:c r="A23" s="214"/>
      <x:c r="B23" s="214"/>
      <x:c r="C23" s="214"/>
      <x:c r="D23" s="214"/>
      <x:c r="E23" s="214"/>
      <x:c r="F23" s="214"/>
      <x:c r="G23" s="214"/>
      <x:c r="H23" s="214"/>
      <x:c r="I23" s="214"/>
      <x:c r="J23" s="214"/>
      <x:c r="K23" s="214"/>
      <x:c r="L23" s="214"/>
      <x:c r="M23" s="214"/>
      <x:c r="N23" s="214"/>
      <x:c r="O23" s="214"/>
      <x:c r="P23" s="214"/>
    </x:row>
    <x:row r="24">
      <x:c r="A24" s="214"/>
      <x:c r="B24" s="214"/>
      <x:c r="C24" s="214"/>
      <x:c r="D24" s="214"/>
      <x:c r="E24" s="214"/>
      <x:c r="F24" s="214"/>
      <x:c r="G24" s="214"/>
      <x:c r="H24" s="214"/>
      <x:c r="I24" s="214"/>
      <x:c r="J24" s="214"/>
      <x:c r="K24" s="214"/>
      <x:c r="L24" s="214"/>
      <x:c r="M24" s="214"/>
      <x:c r="N24" s="214"/>
      <x:c r="O24" s="214"/>
      <x:c r="P24" s="214"/>
    </x:row>
    <x:row r="25">
      <x:c r="A25" s="214"/>
      <x:c r="B25" s="214"/>
      <x:c r="C25" s="214"/>
      <x:c r="D25" s="214"/>
      <x:c r="E25" s="214"/>
      <x:c r="F25" s="214"/>
      <x:c r="G25" s="214"/>
      <x:c r="H25" s="214"/>
      <x:c r="I25" s="214"/>
      <x:c r="J25" s="214"/>
      <x:c r="K25" s="214"/>
      <x:c r="L25" s="214"/>
      <x:c r="M25" s="214"/>
      <x:c r="N25" s="214"/>
      <x:c r="O25" s="214"/>
      <x:c r="P25" s="214"/>
    </x:row>
    <x:row r="26">
      <x:c r="A26" s="214"/>
      <x:c r="B26" s="214"/>
      <x:c r="C26" s="214"/>
      <x:c r="D26" s="214"/>
      <x:c r="E26" s="214"/>
      <x:c r="F26" s="214"/>
      <x:c r="G26" s="214"/>
      <x:c r="H26" s="214"/>
      <x:c r="I26" s="214"/>
      <x:c r="J26" s="214"/>
      <x:c r="K26" s="214"/>
      <x:c r="L26" s="214"/>
      <x:c r="M26" s="214"/>
      <x:c r="N26" s="214"/>
      <x:c r="O26" s="214"/>
      <x:c r="P26" s="214"/>
    </x:row>
    <x:row r="27">
      <x:c r="A27" s="214"/>
      <x:c r="B27" s="214"/>
      <x:c r="C27" s="214"/>
      <x:c r="D27" s="214"/>
      <x:c r="E27" s="214"/>
      <x:c r="F27" s="214"/>
      <x:c r="G27" s="214"/>
      <x:c r="H27" s="214"/>
      <x:c r="I27" s="214"/>
      <x:c r="J27" s="214"/>
      <x:c r="K27" s="214"/>
      <x:c r="L27" s="214"/>
      <x:c r="M27" s="214"/>
      <x:c r="N27" s="214"/>
      <x:c r="O27" s="214"/>
      <x:c r="P27" s="214"/>
    </x:row>
    <x:row r="28">
      <x:c r="A28" s="214"/>
      <x:c r="B28" s="214"/>
      <x:c r="C28" s="214"/>
      <x:c r="D28" s="214"/>
      <x:c r="E28" s="214"/>
      <x:c r="F28" s="214"/>
      <x:c r="G28" s="214"/>
      <x:c r="H28" s="214"/>
      <x:c r="I28" s="214"/>
      <x:c r="J28" s="214"/>
      <x:c r="K28" s="214"/>
      <x:c r="L28" s="214"/>
      <x:c r="M28" s="214"/>
      <x:c r="N28" s="214"/>
      <x:c r="O28" s="214"/>
      <x:c r="P28" s="214"/>
    </x:row>
    <x:row r="29">
      <x:c r="A29" s="214"/>
      <x:c r="B29" s="214"/>
      <x:c r="C29" s="214"/>
      <x:c r="D29" s="214"/>
      <x:c r="E29" s="214"/>
      <x:c r="F29" s="214"/>
      <x:c r="G29" s="214"/>
      <x:c r="H29" s="214"/>
      <x:c r="I29" s="214"/>
      <x:c r="J29" s="214"/>
      <x:c r="K29" s="214"/>
      <x:c r="L29" s="214"/>
      <x:c r="M29" s="214"/>
      <x:c r="N29" s="214"/>
      <x:c r="O29" s="214"/>
      <x:c r="P29" s="214"/>
    </x:row>
    <x:row r="30">
      <x:c r="A30" s="214"/>
      <x:c r="B30" s="214"/>
      <x:c r="C30" s="214"/>
      <x:c r="D30" s="214"/>
      <x:c r="E30" s="214"/>
      <x:c r="F30" s="214"/>
      <x:c r="G30" s="214"/>
      <x:c r="H30" s="214"/>
      <x:c r="I30" s="214"/>
      <x:c r="J30" s="214"/>
      <x:c r="K30" s="214"/>
      <x:c r="L30" s="214"/>
      <x:c r="M30" s="214"/>
      <x:c r="N30" s="214"/>
      <x:c r="O30" s="214"/>
      <x:c r="P30" s="214"/>
    </x:row>
    <x:row r="31">
      <x:c r="A31" s="214"/>
      <x:c r="B31" s="214"/>
      <x:c r="C31" s="214"/>
      <x:c r="D31" s="214"/>
      <x:c r="E31" s="214"/>
      <x:c r="F31" s="214"/>
      <x:c r="G31" s="214"/>
      <x:c r="H31" s="214"/>
      <x:c r="I31" s="214"/>
      <x:c r="J31" s="214"/>
      <x:c r="K31" s="214"/>
      <x:c r="L31" s="214"/>
      <x:c r="M31" s="214"/>
      <x:c r="N31" s="214"/>
      <x:c r="O31" s="214"/>
      <x:c r="P31" s="214"/>
    </x:row>
    <x:row r="32">
      <x:c r="A32" s="214"/>
      <x:c r="B32" s="214"/>
      <x:c r="C32" s="214"/>
      <x:c r="D32" s="214"/>
      <x:c r="E32" s="214"/>
      <x:c r="F32" s="214"/>
      <x:c r="G32" s="214"/>
      <x:c r="H32" s="214"/>
      <x:c r="I32" s="214"/>
      <x:c r="J32" s="214"/>
      <x:c r="K32" s="214"/>
      <x:c r="L32" s="214"/>
      <x:c r="M32" s="214"/>
      <x:c r="N32" s="214"/>
      <x:c r="O32" s="214"/>
      <x:c r="P32" s="214"/>
    </x:row>
    <x:row r="33">
      <x:c r="A33" s="214"/>
      <x:c r="B33" s="214"/>
      <x:c r="C33" s="214"/>
      <x:c r="D33" s="214"/>
      <x:c r="E33" s="214"/>
      <x:c r="F33" s="214"/>
      <x:c r="G33" s="214"/>
      <x:c r="H33" s="214"/>
      <x:c r="I33" s="214"/>
      <x:c r="J33" s="214"/>
      <x:c r="K33" s="214"/>
      <x:c r="L33" s="214"/>
      <x:c r="M33" s="214"/>
      <x:c r="N33" s="214"/>
      <x:c r="O33" s="214"/>
      <x:c r="P33" s="214"/>
    </x:row>
    <x:row r="34">
      <x:c r="A34" s="214"/>
      <x:c r="B34" s="214"/>
      <x:c r="C34" s="214"/>
      <x:c r="D34" s="214"/>
      <x:c r="E34" s="214"/>
      <x:c r="F34" s="214"/>
      <x:c r="G34" s="214"/>
      <x:c r="H34" s="214"/>
      <x:c r="I34" s="214"/>
      <x:c r="J34" s="214"/>
      <x:c r="K34" s="214"/>
      <x:c r="L34" s="214"/>
      <x:c r="M34" s="214"/>
      <x:c r="N34" s="214"/>
      <x:c r="O34" s="214"/>
      <x:c r="P34" s="214"/>
    </x:row>
    <x:row r="35">
      <x:c r="A35" s="214"/>
      <x:c r="B35" s="214"/>
      <x:c r="C35" s="214"/>
      <x:c r="D35" s="214"/>
      <x:c r="E35" s="214"/>
      <x:c r="F35" s="214"/>
      <x:c r="G35" s="214"/>
      <x:c r="H35" s="214"/>
      <x:c r="I35" s="214"/>
      <x:c r="J35" s="214"/>
      <x:c r="K35" s="214"/>
      <x:c r="L35" s="214"/>
      <x:c r="M35" s="214"/>
      <x:c r="N35" s="214"/>
      <x:c r="O35" s="214"/>
      <x:c r="P35" s="214"/>
    </x:row>
    <x:row r="36">
      <x:c r="A36" s="214"/>
      <x:c r="B36" s="214"/>
      <x:c r="C36" s="214"/>
      <x:c r="D36" s="214"/>
      <x:c r="E36" s="214"/>
      <x:c r="F36" s="214"/>
      <x:c r="G36" s="214"/>
      <x:c r="H36" s="214"/>
      <x:c r="I36" s="214"/>
      <x:c r="J36" s="214"/>
      <x:c r="K36" s="214"/>
      <x:c r="L36" s="214"/>
      <x:c r="M36" s="214"/>
      <x:c r="N36" s="214"/>
      <x:c r="O36" s="214"/>
      <x:c r="P36" s="214"/>
    </x:row>
    <x:row r="37">
      <x:c r="A37" s="214"/>
      <x:c r="B37" s="214"/>
      <x:c r="C37" s="214"/>
      <x:c r="D37" s="214"/>
      <x:c r="E37" s="214"/>
      <x:c r="F37" s="214"/>
      <x:c r="G37" s="214"/>
      <x:c r="H37" s="214"/>
      <x:c r="I37" s="214"/>
      <x:c r="J37" s="214"/>
      <x:c r="K37" s="214"/>
      <x:c r="L37" s="214"/>
      <x:c r="M37" s="214"/>
      <x:c r="N37" s="214"/>
      <x:c r="O37" s="214"/>
      <x:c r="P37" s="214"/>
    </x:row>
    <x:row r="38">
      <x:c r="A38" s="214"/>
      <x:c r="B38" s="214"/>
      <x:c r="C38" s="214"/>
      <x:c r="D38" s="214"/>
      <x:c r="E38" s="214"/>
      <x:c r="F38" s="214"/>
      <x:c r="G38" s="214"/>
      <x:c r="H38" s="214"/>
      <x:c r="I38" s="214"/>
      <x:c r="J38" s="214"/>
      <x:c r="K38" s="214"/>
      <x:c r="L38" s="214"/>
      <x:c r="M38" s="214"/>
      <x:c r="N38" s="214"/>
      <x:c r="O38" s="214"/>
      <x:c r="P38" s="214"/>
    </x:row>
    <x:row r="39">
      <x:c r="A39" s="214"/>
      <x:c r="B39" s="214"/>
      <x:c r="C39" s="214"/>
      <x:c r="D39" s="214"/>
      <x:c r="E39" s="214"/>
      <x:c r="F39" s="214"/>
      <x:c r="G39" s="214"/>
      <x:c r="H39" s="214"/>
      <x:c r="I39" s="214"/>
      <x:c r="J39" s="214"/>
      <x:c r="K39" s="214"/>
      <x:c r="L39" s="214"/>
      <x:c r="M39" s="214"/>
      <x:c r="N39" s="214"/>
      <x:c r="O39" s="214"/>
      <x:c r="P39" s="214"/>
    </x:row>
    <x:row r="40">
      <x:c r="A40" s="214"/>
      <x:c r="B40" s="214"/>
      <x:c r="C40" s="214"/>
      <x:c r="D40" s="214"/>
      <x:c r="E40" s="214"/>
      <x:c r="F40" s="214"/>
      <x:c r="G40" s="214"/>
      <x:c r="H40" s="214"/>
      <x:c r="I40" s="214"/>
      <x:c r="J40" s="214"/>
      <x:c r="K40" s="214"/>
      <x:c r="L40" s="214"/>
      <x:c r="M40" s="214"/>
      <x:c r="N40" s="214"/>
      <x:c r="O40" s="214"/>
      <x:c r="P40" s="214"/>
    </x:row>
    <x:row r="41">
      <x:c r="A41" s="214"/>
      <x:c r="B41" s="214"/>
      <x:c r="C41" s="214"/>
      <x:c r="D41" s="214"/>
      <x:c r="E41" s="214"/>
      <x:c r="F41" s="214"/>
      <x:c r="G41" s="214"/>
      <x:c r="H41" s="214"/>
      <x:c r="I41" s="214"/>
      <x:c r="J41" s="214"/>
      <x:c r="K41" s="214"/>
      <x:c r="L41" s="214"/>
      <x:c r="M41" s="214"/>
      <x:c r="N41" s="214"/>
      <x:c r="O41" s="214"/>
      <x:c r="P41" s="214"/>
    </x:row>
    <x:row r="42">
      <x:c r="A42" s="214"/>
      <x:c r="B42" s="214"/>
      <x:c r="C42" s="214"/>
      <x:c r="D42" s="214"/>
      <x:c r="E42" s="214"/>
      <x:c r="F42" s="214"/>
      <x:c r="G42" s="214"/>
      <x:c r="H42" s="214"/>
      <x:c r="I42" s="214"/>
      <x:c r="J42" s="214"/>
      <x:c r="K42" s="214"/>
      <x:c r="L42" s="214"/>
      <x:c r="M42" s="214"/>
      <x:c r="N42" s="214"/>
      <x:c r="O42" s="214"/>
      <x:c r="P42" s="214"/>
    </x:row>
    <x:row r="43">
      <x:c r="A43" s="214"/>
      <x:c r="B43" s="214"/>
      <x:c r="C43" s="214"/>
      <x:c r="D43" s="214"/>
      <x:c r="E43" s="214"/>
      <x:c r="F43" s="214"/>
      <x:c r="G43" s="214"/>
      <x:c r="H43" s="214"/>
      <x:c r="I43" s="214"/>
      <x:c r="J43" s="214"/>
      <x:c r="K43" s="214"/>
      <x:c r="L43" s="214"/>
      <x:c r="M43" s="214"/>
      <x:c r="N43" s="214"/>
      <x:c r="O43" s="214"/>
      <x:c r="P43" s="214"/>
    </x:row>
    <x:row r="44">
      <x:c r="A44" s="214"/>
      <x:c r="B44" s="214"/>
      <x:c r="C44" s="214"/>
      <x:c r="D44" s="214"/>
      <x:c r="E44" s="214"/>
      <x:c r="F44" s="214"/>
      <x:c r="G44" s="214"/>
      <x:c r="H44" s="214"/>
      <x:c r="I44" s="214"/>
      <x:c r="J44" s="214"/>
      <x:c r="K44" s="214"/>
      <x:c r="L44" s="214"/>
      <x:c r="M44" s="214"/>
      <x:c r="N44" s="214"/>
      <x:c r="O44" s="214"/>
      <x:c r="P44" s="214"/>
    </x:row>
    <x:row r="45">
      <x:c r="A45" s="214"/>
      <x:c r="B45" s="214"/>
      <x:c r="C45" s="214"/>
      <x:c r="D45" s="214"/>
      <x:c r="E45" s="214"/>
      <x:c r="F45" s="214"/>
      <x:c r="G45" s="214"/>
      <x:c r="H45" s="214"/>
      <x:c r="I45" s="214"/>
      <x:c r="J45" s="214"/>
      <x:c r="K45" s="214"/>
      <x:c r="L45" s="214"/>
      <x:c r="M45" s="214"/>
      <x:c r="N45" s="214"/>
      <x:c r="O45" s="214"/>
      <x:c r="P45" s="214"/>
    </x:row>
    <x:row r="46">
      <x:c r="A46" s="214"/>
      <x:c r="B46" s="214"/>
      <x:c r="C46" s="214"/>
      <x:c r="D46" s="214"/>
      <x:c r="E46" s="214"/>
      <x:c r="F46" s="214"/>
      <x:c r="G46" s="214"/>
      <x:c r="H46" s="214"/>
      <x:c r="I46" s="214"/>
      <x:c r="J46" s="214"/>
      <x:c r="K46" s="214"/>
      <x:c r="L46" s="214"/>
      <x:c r="M46" s="214"/>
      <x:c r="N46" s="214"/>
      <x:c r="O46" s="214"/>
      <x:c r="P46" s="214"/>
    </x:row>
    <x:row r="47">
      <x:c r="A47" s="214"/>
      <x:c r="B47" s="214"/>
      <x:c r="C47" s="214"/>
      <x:c r="D47" s="214"/>
      <x:c r="E47" s="214"/>
      <x:c r="F47" s="214"/>
      <x:c r="G47" s="214"/>
      <x:c r="H47" s="214"/>
      <x:c r="I47" s="214"/>
      <x:c r="J47" s="214"/>
      <x:c r="K47" s="214"/>
      <x:c r="L47" s="214"/>
      <x:c r="M47" s="214"/>
      <x:c r="N47" s="214"/>
      <x:c r="O47" s="214"/>
      <x:c r="P47" s="214"/>
    </x:row>
    <x:row r="48">
      <x:c r="A48" s="214"/>
      <x:c r="B48" s="214"/>
      <x:c r="C48" s="214"/>
      <x:c r="D48" s="214"/>
      <x:c r="E48" s="214"/>
      <x:c r="F48" s="214"/>
      <x:c r="G48" s="214"/>
      <x:c r="H48" s="214"/>
      <x:c r="I48" s="214"/>
      <x:c r="J48" s="214"/>
      <x:c r="K48" s="214"/>
      <x:c r="L48" s="214"/>
      <x:c r="M48" s="214"/>
      <x:c r="N48" s="214"/>
      <x:c r="O48" s="214"/>
      <x:c r="P48" s="214"/>
    </x:row>
    <x:row r="49">
      <x:c r="A49" s="214"/>
      <x:c r="B49" s="214"/>
      <x:c r="C49" s="214"/>
      <x:c r="D49" s="214"/>
      <x:c r="E49" s="214"/>
      <x:c r="F49" s="214"/>
      <x:c r="G49" s="214"/>
      <x:c r="H49" s="214"/>
      <x:c r="I49" s="214"/>
      <x:c r="J49" s="214"/>
      <x:c r="K49" s="214"/>
      <x:c r="L49" s="214"/>
      <x:c r="M49" s="214"/>
      <x:c r="N49" s="214"/>
      <x:c r="O49" s="214"/>
      <x:c r="P49" s="214"/>
    </x:row>
    <x:row r="50">
      <x:c r="A50" s="214"/>
      <x:c r="B50" s="214"/>
      <x:c r="C50" s="214"/>
      <x:c r="D50" s="214"/>
      <x:c r="E50" s="214"/>
      <x:c r="F50" s="214"/>
      <x:c r="G50" s="214"/>
      <x:c r="H50" s="214"/>
      <x:c r="I50" s="214"/>
      <x:c r="J50" s="214"/>
      <x:c r="K50" s="214"/>
      <x:c r="L50" s="214"/>
      <x:c r="M50" s="214"/>
      <x:c r="N50" s="214"/>
      <x:c r="O50" s="214"/>
      <x:c r="P50" s="214"/>
    </x:row>
    <x:row r="51">
      <x:c r="A51" s="214"/>
      <x:c r="B51" s="214"/>
      <x:c r="C51" s="214"/>
      <x:c r="D51" s="214"/>
      <x:c r="E51" s="214"/>
      <x:c r="F51" s="214"/>
      <x:c r="G51" s="214"/>
      <x:c r="H51" s="214"/>
      <x:c r="I51" s="214"/>
      <x:c r="J51" s="214"/>
      <x:c r="K51" s="214"/>
      <x:c r="L51" s="214"/>
      <x:c r="M51" s="214"/>
      <x:c r="N51" s="214"/>
      <x:c r="O51" s="214"/>
      <x:c r="P51" s="214"/>
    </x:row>
    <x:row r="52">
      <x:c r="A52" s="214"/>
      <x:c r="B52" s="214"/>
      <x:c r="C52" s="214"/>
      <x:c r="D52" s="214"/>
      <x:c r="E52" s="214"/>
      <x:c r="F52" s="214"/>
      <x:c r="G52" s="214"/>
      <x:c r="H52" s="214"/>
      <x:c r="I52" s="214"/>
      <x:c r="J52" s="214"/>
      <x:c r="K52" s="214"/>
      <x:c r="L52" s="214"/>
      <x:c r="M52" s="214"/>
      <x:c r="N52" s="214"/>
      <x:c r="O52" s="214"/>
      <x:c r="P52" s="214"/>
    </x:row>
    <x:row r="53">
      <x:c r="A53" s="214"/>
      <x:c r="B53" s="214"/>
      <x:c r="C53" s="214"/>
      <x:c r="D53" s="214"/>
      <x:c r="E53" s="214"/>
      <x:c r="F53" s="214"/>
      <x:c r="G53" s="214"/>
      <x:c r="H53" s="214"/>
      <x:c r="I53" s="214"/>
      <x:c r="J53" s="214"/>
      <x:c r="K53" s="214"/>
      <x:c r="L53" s="214"/>
      <x:c r="M53" s="214"/>
      <x:c r="N53" s="214"/>
      <x:c r="O53" s="214"/>
      <x:c r="P53" s="214"/>
    </x:row>
    <x:row r="54">
      <x:c r="A54" s="214"/>
      <x:c r="B54" s="214"/>
      <x:c r="C54" s="214"/>
      <x:c r="D54" s="214"/>
      <x:c r="E54" s="214"/>
      <x:c r="F54" s="214"/>
      <x:c r="G54" s="214"/>
      <x:c r="H54" s="214"/>
      <x:c r="I54" s="214"/>
      <x:c r="J54" s="214"/>
      <x:c r="K54" s="214"/>
      <x:c r="L54" s="214"/>
      <x:c r="M54" s="214"/>
      <x:c r="N54" s="214"/>
      <x:c r="O54" s="214"/>
      <x:c r="P54" s="214"/>
    </x:row>
    <x:row r="55">
      <x:c r="A55" s="214"/>
      <x:c r="B55" s="214"/>
      <x:c r="C55" s="214"/>
      <x:c r="D55" s="214"/>
      <x:c r="E55" s="214"/>
      <x:c r="F55" s="214"/>
      <x:c r="G55" s="214"/>
      <x:c r="H55" s="214"/>
      <x:c r="I55" s="214"/>
      <x:c r="J55" s="214"/>
      <x:c r="K55" s="214"/>
      <x:c r="L55" s="214"/>
      <x:c r="M55" s="214"/>
      <x:c r="N55" s="214"/>
      <x:c r="O55" s="214"/>
      <x:c r="P55" s="214"/>
    </x:row>
    <x:row r="56">
      <x:c r="A56" s="214"/>
      <x:c r="B56" s="214"/>
      <x:c r="C56" s="214"/>
      <x:c r="D56" s="214"/>
      <x:c r="E56" s="214"/>
      <x:c r="F56" s="214"/>
      <x:c r="G56" s="214"/>
      <x:c r="H56" s="214"/>
      <x:c r="I56" s="214"/>
      <x:c r="J56" s="214"/>
      <x:c r="K56" s="214"/>
      <x:c r="L56" s="214"/>
      <x:c r="M56" s="214"/>
      <x:c r="N56" s="214"/>
      <x:c r="O56" s="214"/>
      <x:c r="P56" s="214"/>
    </x:row>
    <x:row r="57">
      <x:c r="A57" s="214"/>
      <x:c r="B57" s="214"/>
      <x:c r="C57" s="214"/>
      <x:c r="D57" s="214"/>
      <x:c r="E57" s="214"/>
      <x:c r="F57" s="214"/>
      <x:c r="G57" s="214"/>
      <x:c r="H57" s="214"/>
      <x:c r="I57" s="214"/>
      <x:c r="J57" s="214"/>
      <x:c r="K57" s="214"/>
      <x:c r="L57" s="214"/>
      <x:c r="M57" s="214"/>
      <x:c r="N57" s="214"/>
      <x:c r="O57" s="214"/>
      <x:c r="P57" s="214"/>
    </x:row>
    <x:row r="58">
      <x:c r="A58" s="214"/>
      <x:c r="B58" s="214"/>
      <x:c r="C58" s="214"/>
      <x:c r="D58" s="214"/>
      <x:c r="E58" s="214"/>
      <x:c r="F58" s="214"/>
      <x:c r="G58" s="214"/>
      <x:c r="H58" s="214"/>
      <x:c r="I58" s="214"/>
      <x:c r="J58" s="214"/>
      <x:c r="K58" s="214"/>
      <x:c r="L58" s="214"/>
      <x:c r="M58" s="214"/>
      <x:c r="N58" s="214"/>
      <x:c r="O58" s="214"/>
      <x:c r="P58" s="214"/>
    </x:row>
    <x:row r="59">
      <x:c r="A59" s="214"/>
      <x:c r="B59" s="214"/>
      <x:c r="C59" s="214"/>
      <x:c r="D59" s="214"/>
      <x:c r="E59" s="214"/>
      <x:c r="F59" s="214"/>
      <x:c r="G59" s="214"/>
      <x:c r="H59" s="214"/>
      <x:c r="I59" s="214"/>
      <x:c r="J59" s="214"/>
      <x:c r="K59" s="214"/>
      <x:c r="L59" s="214"/>
      <x:c r="M59" s="214"/>
      <x:c r="N59" s="214"/>
      <x:c r="O59" s="214"/>
      <x:c r="P59" s="214"/>
    </x:row>
    <x:row r="60">
      <x:c r="A60" s="214"/>
      <x:c r="B60" s="214"/>
      <x:c r="C60" s="214"/>
      <x:c r="D60" s="214"/>
      <x:c r="E60" s="214"/>
      <x:c r="F60" s="214"/>
      <x:c r="G60" s="214"/>
      <x:c r="H60" s="214"/>
      <x:c r="I60" s="214"/>
      <x:c r="J60" s="214"/>
      <x:c r="K60" s="214"/>
      <x:c r="L60" s="214"/>
      <x:c r="M60" s="214"/>
      <x:c r="N60" s="214"/>
      <x:c r="O60" s="214"/>
      <x:c r="P60" s="214"/>
    </x:row>
    <x:row r="61">
      <x:c r="A61" s="214"/>
      <x:c r="B61" s="214"/>
      <x:c r="C61" s="214"/>
      <x:c r="D61" s="214"/>
      <x:c r="E61" s="214"/>
      <x:c r="F61" s="214"/>
      <x:c r="G61" s="214"/>
      <x:c r="H61" s="214"/>
      <x:c r="I61" s="214"/>
      <x:c r="J61" s="214"/>
      <x:c r="K61" s="214"/>
      <x:c r="L61" s="214"/>
      <x:c r="M61" s="214"/>
      <x:c r="N61" s="214"/>
      <x:c r="O61" s="214"/>
      <x:c r="P61" s="214"/>
    </x:row>
    <x:row r="62">
      <x:c r="A62" s="214"/>
      <x:c r="B62" s="214"/>
      <x:c r="C62" s="214"/>
      <x:c r="D62" s="214"/>
      <x:c r="E62" s="214"/>
      <x:c r="F62" s="214"/>
      <x:c r="G62" s="214"/>
      <x:c r="H62" s="214"/>
      <x:c r="I62" s="214"/>
      <x:c r="J62" s="214"/>
      <x:c r="K62" s="214"/>
      <x:c r="L62" s="214"/>
      <x:c r="M62" s="214"/>
      <x:c r="N62" s="214"/>
      <x:c r="O62" s="214"/>
      <x:c r="P62" s="214"/>
    </x:row>
    <x:row r="63">
      <x:c r="A63" s="214"/>
      <x:c r="B63" s="214"/>
      <x:c r="C63" s="214"/>
      <x:c r="D63" s="214"/>
      <x:c r="E63" s="214"/>
      <x:c r="F63" s="214"/>
      <x:c r="G63" s="214"/>
      <x:c r="H63" s="214"/>
      <x:c r="I63" s="214"/>
      <x:c r="J63" s="214"/>
      <x:c r="K63" s="214"/>
      <x:c r="L63" s="214"/>
      <x:c r="M63" s="214"/>
      <x:c r="N63" s="214"/>
      <x:c r="O63" s="214"/>
      <x:c r="P63" s="214"/>
    </x:row>
    <x:row r="64">
      <x:c r="A64" s="214"/>
      <x:c r="B64" s="214"/>
      <x:c r="C64" s="214"/>
      <x:c r="D64" s="214"/>
      <x:c r="E64" s="214"/>
      <x:c r="F64" s="214"/>
      <x:c r="G64" s="214"/>
      <x:c r="H64" s="214"/>
      <x:c r="I64" s="214"/>
      <x:c r="J64" s="214"/>
      <x:c r="K64" s="214"/>
      <x:c r="L64" s="214"/>
      <x:c r="M64" s="214"/>
      <x:c r="N64" s="214"/>
      <x:c r="O64" s="214"/>
      <x:c r="P64" s="214"/>
    </x:row>
    <x:row r="65">
      <x:c r="A65" s="214"/>
      <x:c r="B65" s="214"/>
      <x:c r="C65" s="214"/>
      <x:c r="D65" s="214"/>
      <x:c r="E65" s="214"/>
      <x:c r="F65" s="214"/>
      <x:c r="G65" s="214"/>
      <x:c r="H65" s="214"/>
      <x:c r="I65" s="214"/>
      <x:c r="J65" s="214"/>
      <x:c r="K65" s="214"/>
      <x:c r="L65" s="214"/>
      <x:c r="M65" s="214"/>
      <x:c r="N65" s="214"/>
      <x:c r="O65" s="214"/>
      <x:c r="P65" s="214"/>
    </x:row>
    <x:row r="66">
      <x:c r="A66" s="214"/>
      <x:c r="B66" s="214"/>
      <x:c r="C66" s="214"/>
      <x:c r="D66" s="214"/>
      <x:c r="E66" s="214"/>
      <x:c r="F66" s="214"/>
      <x:c r="G66" s="214"/>
      <x:c r="H66" s="214"/>
      <x:c r="I66" s="214"/>
      <x:c r="J66" s="214"/>
      <x:c r="K66" s="214"/>
      <x:c r="L66" s="214"/>
      <x:c r="M66" s="214"/>
      <x:c r="N66" s="214"/>
      <x:c r="O66" s="214"/>
      <x:c r="P66" s="214"/>
    </x:row>
    <x:row r="67">
      <x:c r="A67" s="214"/>
      <x:c r="B67" s="214"/>
      <x:c r="C67" s="214"/>
      <x:c r="D67" s="214"/>
      <x:c r="E67" s="214"/>
      <x:c r="F67" s="214"/>
      <x:c r="G67" s="214"/>
      <x:c r="H67" s="214"/>
      <x:c r="I67" s="214"/>
      <x:c r="J67" s="214"/>
      <x:c r="K67" s="214"/>
      <x:c r="L67" s="214"/>
      <x:c r="M67" s="214"/>
      <x:c r="N67" s="214"/>
      <x:c r="O67" s="214"/>
      <x:c r="P67" s="214"/>
    </x:row>
    <x:row r="68">
      <x:c r="A68" s="214"/>
      <x:c r="B68" s="214"/>
      <x:c r="C68" s="214"/>
      <x:c r="D68" s="214"/>
      <x:c r="E68" s="214"/>
      <x:c r="F68" s="214"/>
      <x:c r="G68" s="214"/>
      <x:c r="H68" s="214"/>
      <x:c r="I68" s="214"/>
      <x:c r="J68" s="214"/>
      <x:c r="K68" s="214"/>
      <x:c r="L68" s="214"/>
      <x:c r="M68" s="214"/>
      <x:c r="N68" s="214"/>
      <x:c r="O68" s="214"/>
      <x:c r="P68" s="214"/>
    </x:row>
    <x:row r="69">
      <x:c r="A69" s="214"/>
      <x:c r="B69" s="214"/>
      <x:c r="C69" s="214"/>
      <x:c r="D69" s="214"/>
      <x:c r="E69" s="214"/>
      <x:c r="F69" s="214"/>
      <x:c r="G69" s="214"/>
      <x:c r="H69" s="214"/>
      <x:c r="I69" s="214"/>
      <x:c r="J69" s="214"/>
      <x:c r="K69" s="214"/>
      <x:c r="L69" s="214"/>
      <x:c r="M69" s="214"/>
      <x:c r="N69" s="214"/>
      <x:c r="O69" s="214"/>
      <x:c r="P69" s="214"/>
    </x:row>
    <x:row r="70">
      <x:c r="A70" s="214"/>
      <x:c r="B70" s="214"/>
      <x:c r="C70" s="214"/>
      <x:c r="D70" s="214"/>
      <x:c r="E70" s="214"/>
      <x:c r="F70" s="214"/>
      <x:c r="G70" s="214"/>
      <x:c r="H70" s="214"/>
      <x:c r="I70" s="214"/>
      <x:c r="J70" s="214"/>
      <x:c r="K70" s="214"/>
      <x:c r="L70" s="214"/>
      <x:c r="M70" s="214"/>
      <x:c r="N70" s="214"/>
      <x:c r="O70" s="214"/>
      <x:c r="P70" s="214"/>
    </x:row>
    <x:row r="71">
      <x:c r="A71" s="214"/>
      <x:c r="B71" s="214"/>
      <x:c r="C71" s="214"/>
      <x:c r="D71" s="214"/>
      <x:c r="E71" s="214"/>
      <x:c r="F71" s="214"/>
      <x:c r="G71" s="214"/>
      <x:c r="H71" s="214"/>
      <x:c r="I71" s="214"/>
      <x:c r="J71" s="214"/>
      <x:c r="K71" s="214"/>
      <x:c r="L71" s="214"/>
      <x:c r="M71" s="214"/>
      <x:c r="N71" s="214"/>
      <x:c r="O71" s="214"/>
      <x:c r="P71" s="214"/>
    </x:row>
    <x:row r="72">
      <x:c r="A72" s="214"/>
      <x:c r="B72" s="214"/>
      <x:c r="C72" s="214"/>
      <x:c r="D72" s="214"/>
      <x:c r="E72" s="214"/>
      <x:c r="F72" s="214"/>
      <x:c r="G72" s="214"/>
      <x:c r="H72" s="214"/>
      <x:c r="I72" s="214"/>
      <x:c r="J72" s="214"/>
      <x:c r="K72" s="214"/>
      <x:c r="L72" s="214"/>
      <x:c r="M72" s="214"/>
      <x:c r="N72" s="214"/>
      <x:c r="O72" s="214"/>
      <x:c r="P72" s="214"/>
    </x:row>
    <x:row r="73">
      <x:c r="A73" s="214"/>
      <x:c r="B73" s="214"/>
      <x:c r="C73" s="214"/>
      <x:c r="D73" s="214"/>
      <x:c r="E73" s="214"/>
      <x:c r="F73" s="214"/>
      <x:c r="G73" s="214"/>
      <x:c r="H73" s="214"/>
      <x:c r="I73" s="214"/>
      <x:c r="J73" s="214"/>
      <x:c r="K73" s="214"/>
      <x:c r="L73" s="214"/>
      <x:c r="M73" s="214"/>
      <x:c r="N73" s="214"/>
      <x:c r="O73" s="214"/>
      <x:c r="P73" s="214"/>
    </x:row>
    <x:row r="74">
      <x:c r="A74" s="214"/>
      <x:c r="B74" s="214"/>
      <x:c r="C74" s="214"/>
      <x:c r="D74" s="214"/>
      <x:c r="E74" s="214"/>
      <x:c r="F74" s="214"/>
      <x:c r="G74" s="214"/>
      <x:c r="H74" s="214"/>
      <x:c r="I74" s="214"/>
      <x:c r="J74" s="214"/>
      <x:c r="K74" s="214"/>
      <x:c r="L74" s="214"/>
      <x:c r="M74" s="214"/>
      <x:c r="N74" s="214"/>
      <x:c r="O74" s="214"/>
      <x:c r="P74" s="214"/>
    </x:row>
    <x:row r="75">
      <x:c r="A75" s="214"/>
      <x:c r="B75" s="214"/>
      <x:c r="C75" s="214"/>
      <x:c r="D75" s="214"/>
      <x:c r="E75" s="214"/>
      <x:c r="F75" s="214"/>
      <x:c r="G75" s="214"/>
      <x:c r="H75" s="214"/>
      <x:c r="I75" s="214"/>
      <x:c r="J75" s="214"/>
      <x:c r="K75" s="214"/>
      <x:c r="L75" s="214"/>
      <x:c r="M75" s="214"/>
      <x:c r="N75" s="214"/>
      <x:c r="O75" s="214"/>
      <x:c r="P75" s="214"/>
    </x:row>
    <x:row r="76">
      <x:c r="A76" s="214"/>
      <x:c r="B76" s="214"/>
      <x:c r="C76" s="214"/>
      <x:c r="D76" s="214"/>
      <x:c r="E76" s="214"/>
      <x:c r="F76" s="214"/>
      <x:c r="G76" s="214"/>
      <x:c r="H76" s="214"/>
      <x:c r="I76" s="214"/>
      <x:c r="J76" s="214"/>
      <x:c r="K76" s="214"/>
      <x:c r="L76" s="214"/>
      <x:c r="M76" s="214"/>
      <x:c r="N76" s="214"/>
      <x:c r="O76" s="214"/>
      <x:c r="P76" s="214"/>
    </x:row>
    <x:row r="77">
      <x:c r="A77" s="214"/>
      <x:c r="B77" s="214"/>
      <x:c r="C77" s="214"/>
      <x:c r="D77" s="214"/>
      <x:c r="E77" s="214"/>
      <x:c r="F77" s="214"/>
      <x:c r="G77" s="214"/>
      <x:c r="H77" s="214"/>
      <x:c r="I77" s="214"/>
      <x:c r="J77" s="214"/>
      <x:c r="K77" s="214"/>
      <x:c r="L77" s="214"/>
      <x:c r="M77" s="214"/>
      <x:c r="N77" s="214"/>
      <x:c r="O77" s="214"/>
      <x:c r="P77" s="214"/>
    </x:row>
    <x:row r="78">
      <x:c r="A78" s="214"/>
      <x:c r="B78" s="214"/>
      <x:c r="C78" s="214"/>
      <x:c r="D78" s="214"/>
      <x:c r="E78" s="214"/>
      <x:c r="F78" s="214"/>
      <x:c r="G78" s="214"/>
      <x:c r="H78" s="214"/>
      <x:c r="I78" s="214"/>
      <x:c r="J78" s="214"/>
      <x:c r="K78" s="214"/>
      <x:c r="L78" s="214"/>
      <x:c r="M78" s="214"/>
      <x:c r="N78" s="214"/>
      <x:c r="O78" s="214"/>
      <x:c r="P78" s="214"/>
    </x:row>
    <x:row r="79">
      <x:c r="A79" s="214"/>
      <x:c r="B79" s="214"/>
      <x:c r="C79" s="214"/>
      <x:c r="D79" s="214"/>
      <x:c r="E79" s="214"/>
      <x:c r="F79" s="214"/>
      <x:c r="G79" s="214"/>
      <x:c r="H79" s="214"/>
      <x:c r="I79" s="214"/>
      <x:c r="J79" s="214"/>
      <x:c r="K79" s="214"/>
      <x:c r="L79" s="214"/>
      <x:c r="M79" s="214"/>
      <x:c r="N79" s="214"/>
      <x:c r="O79" s="214"/>
      <x:c r="P79" s="214"/>
    </x:row>
    <x:row r="80">
      <x:c r="A80" s="214"/>
      <x:c r="B80" s="214"/>
      <x:c r="C80" s="214"/>
      <x:c r="D80" s="214"/>
      <x:c r="E80" s="214"/>
      <x:c r="F80" s="214"/>
      <x:c r="G80" s="214"/>
      <x:c r="H80" s="214"/>
      <x:c r="I80" s="214"/>
      <x:c r="J80" s="214"/>
      <x:c r="K80" s="214"/>
      <x:c r="L80" s="214"/>
      <x:c r="M80" s="214"/>
      <x:c r="N80" s="214"/>
      <x:c r="O80" s="214"/>
      <x:c r="P80" s="214"/>
    </x:row>
    <x:row r="81">
      <x:c r="A81" s="214"/>
      <x:c r="B81" s="214"/>
      <x:c r="C81" s="214"/>
      <x:c r="D81" s="214"/>
      <x:c r="E81" s="214"/>
      <x:c r="F81" s="214"/>
      <x:c r="G81" s="214"/>
      <x:c r="H81" s="214"/>
      <x:c r="I81" s="214"/>
      <x:c r="J81" s="214"/>
      <x:c r="K81" s="214"/>
      <x:c r="L81" s="214"/>
      <x:c r="M81" s="214"/>
      <x:c r="N81" s="214"/>
      <x:c r="O81" s="214"/>
      <x:c r="P81" s="214"/>
    </x:row>
    <x:row r="82">
      <x:c r="A82" s="214"/>
      <x:c r="B82" s="214"/>
      <x:c r="C82" s="214"/>
      <x:c r="D82" s="214"/>
      <x:c r="E82" s="214"/>
      <x:c r="F82" s="214"/>
      <x:c r="G82" s="214"/>
      <x:c r="H82" s="214"/>
      <x:c r="I82" s="214"/>
      <x:c r="J82" s="214"/>
      <x:c r="K82" s="214"/>
      <x:c r="L82" s="214"/>
      <x:c r="M82" s="214"/>
      <x:c r="N82" s="214"/>
      <x:c r="O82" s="214"/>
      <x:c r="P82" s="214"/>
    </x:row>
    <x:row r="83">
      <x:c r="A83" s="214"/>
      <x:c r="B83" s="214"/>
      <x:c r="C83" s="214"/>
      <x:c r="D83" s="214"/>
      <x:c r="E83" s="214"/>
      <x:c r="F83" s="214"/>
      <x:c r="G83" s="214"/>
      <x:c r="H83" s="214"/>
      <x:c r="I83" s="214"/>
      <x:c r="J83" s="214"/>
      <x:c r="K83" s="214"/>
      <x:c r="L83" s="214"/>
      <x:c r="M83" s="214"/>
      <x:c r="N83" s="214"/>
      <x:c r="O83" s="214"/>
      <x:c r="P83" s="214"/>
    </x:row>
    <x:row r="84">
      <x:c r="A84" s="214"/>
      <x:c r="B84" s="214"/>
      <x:c r="C84" s="214"/>
      <x:c r="D84" s="214"/>
      <x:c r="E84" s="214"/>
      <x:c r="F84" s="214"/>
      <x:c r="G84" s="214"/>
      <x:c r="H84" s="214"/>
      <x:c r="I84" s="214"/>
      <x:c r="J84" s="214"/>
      <x:c r="K84" s="214"/>
      <x:c r="L84" s="214"/>
      <x:c r="M84" s="214"/>
      <x:c r="N84" s="214"/>
      <x:c r="O84" s="214"/>
      <x:c r="P84" s="214"/>
    </x:row>
    <x:row r="85">
      <x:c r="A85" s="214"/>
      <x:c r="B85" s="214"/>
      <x:c r="C85" s="214"/>
      <x:c r="D85" s="214"/>
      <x:c r="E85" s="214"/>
      <x:c r="F85" s="214"/>
      <x:c r="G85" s="214"/>
      <x:c r="H85" s="214"/>
      <x:c r="I85" s="214"/>
      <x:c r="J85" s="214"/>
      <x:c r="K85" s="214"/>
      <x:c r="L85" s="214"/>
      <x:c r="M85" s="214"/>
      <x:c r="N85" s="214"/>
      <x:c r="O85" s="214"/>
      <x:c r="P85" s="214"/>
    </x:row>
    <x:row r="86">
      <x:c r="A86" s="214"/>
      <x:c r="B86" s="214"/>
      <x:c r="C86" s="214"/>
      <x:c r="D86" s="214"/>
      <x:c r="E86" s="214"/>
      <x:c r="F86" s="214"/>
      <x:c r="G86" s="214"/>
      <x:c r="H86" s="214"/>
      <x:c r="I86" s="214"/>
      <x:c r="J86" s="214"/>
      <x:c r="K86" s="214"/>
      <x:c r="L86" s="214"/>
      <x:c r="M86" s="214"/>
      <x:c r="N86" s="214"/>
      <x:c r="O86" s="214"/>
      <x:c r="P86" s="214"/>
    </x:row>
    <x:row r="87">
      <x:c r="A87" s="214"/>
      <x:c r="B87" s="214"/>
      <x:c r="C87" s="214"/>
      <x:c r="D87" s="214"/>
      <x:c r="E87" s="214"/>
      <x:c r="F87" s="214"/>
      <x:c r="G87" s="214"/>
      <x:c r="H87" s="214"/>
      <x:c r="I87" s="214"/>
      <x:c r="J87" s="214"/>
      <x:c r="K87" s="214"/>
      <x:c r="L87" s="214"/>
      <x:c r="M87" s="214"/>
      <x:c r="N87" s="214"/>
      <x:c r="O87" s="214"/>
      <x:c r="P87" s="214"/>
    </x:row>
    <x:row r="88">
      <x:c r="A88" s="214"/>
      <x:c r="B88" s="214"/>
      <x:c r="C88" s="214"/>
      <x:c r="D88" s="214"/>
      <x:c r="E88" s="214"/>
      <x:c r="F88" s="214"/>
      <x:c r="G88" s="214"/>
      <x:c r="H88" s="214"/>
      <x:c r="I88" s="214"/>
      <x:c r="J88" s="214"/>
      <x:c r="K88" s="214"/>
      <x:c r="L88" s="214"/>
      <x:c r="M88" s="214"/>
      <x:c r="N88" s="214"/>
      <x:c r="O88" s="214"/>
      <x:c r="P88" s="214"/>
    </x:row>
    <x:row r="89">
      <x:c r="A89" s="214"/>
      <x:c r="B89" s="214"/>
      <x:c r="C89" s="214"/>
      <x:c r="D89" s="214"/>
      <x:c r="E89" s="214"/>
      <x:c r="F89" s="214"/>
      <x:c r="G89" s="214"/>
      <x:c r="H89" s="214"/>
      <x:c r="I89" s="214"/>
      <x:c r="J89" s="214"/>
      <x:c r="K89" s="214"/>
      <x:c r="L89" s="214"/>
      <x:c r="M89" s="214"/>
      <x:c r="N89" s="214"/>
      <x:c r="O89" s="214"/>
      <x:c r="P89" s="214"/>
    </x:row>
    <x:row r="90">
      <x:c r="A90" s="214"/>
      <x:c r="B90" s="214"/>
      <x:c r="C90" s="214"/>
      <x:c r="D90" s="214"/>
      <x:c r="E90" s="214"/>
      <x:c r="F90" s="214"/>
      <x:c r="G90" s="214"/>
      <x:c r="H90" s="214"/>
      <x:c r="I90" s="214"/>
      <x:c r="J90" s="214"/>
      <x:c r="K90" s="214"/>
      <x:c r="L90" s="214"/>
      <x:c r="M90" s="214"/>
      <x:c r="N90" s="214"/>
      <x:c r="O90" s="214"/>
      <x:c r="P90" s="214"/>
    </x:row>
    <x:row r="91">
      <x:c r="A91" s="214"/>
      <x:c r="B91" s="214"/>
      <x:c r="C91" s="214"/>
      <x:c r="D91" s="214"/>
      <x:c r="E91" s="214"/>
      <x:c r="F91" s="214"/>
      <x:c r="G91" s="214"/>
      <x:c r="H91" s="214"/>
      <x:c r="I91" s="214"/>
      <x:c r="J91" s="214"/>
      <x:c r="K91" s="214"/>
      <x:c r="L91" s="214"/>
      <x:c r="M91" s="214"/>
      <x:c r="N91" s="214"/>
      <x:c r="O91" s="214"/>
      <x:c r="P91" s="214"/>
    </x:row>
    <x:row r="92">
      <x:c r="A92" s="214"/>
      <x:c r="B92" s="214"/>
      <x:c r="C92" s="214"/>
      <x:c r="D92" s="214"/>
      <x:c r="E92" s="214"/>
      <x:c r="F92" s="214"/>
      <x:c r="G92" s="214"/>
      <x:c r="H92" s="214"/>
      <x:c r="I92" s="214"/>
      <x:c r="J92" s="214"/>
      <x:c r="K92" s="214"/>
      <x:c r="L92" s="214"/>
      <x:c r="M92" s="214"/>
      <x:c r="N92" s="214"/>
      <x:c r="O92" s="214"/>
      <x:c r="P92" s="214"/>
    </x:row>
    <x:row r="93">
      <x:c r="A93" s="214"/>
      <x:c r="B93" s="214"/>
      <x:c r="C93" s="214"/>
      <x:c r="D93" s="214"/>
      <x:c r="E93" s="214"/>
      <x:c r="F93" s="214"/>
      <x:c r="G93" s="214"/>
      <x:c r="H93" s="214"/>
      <x:c r="I93" s="214"/>
      <x:c r="J93" s="214"/>
      <x:c r="K93" s="214"/>
      <x:c r="L93" s="214"/>
      <x:c r="M93" s="214"/>
      <x:c r="N93" s="214"/>
      <x:c r="O93" s="214"/>
      <x:c r="P93" s="214"/>
    </x:row>
    <x:row r="94">
      <x:c r="A94" s="214"/>
      <x:c r="B94" s="214"/>
      <x:c r="C94" s="214"/>
      <x:c r="D94" s="214"/>
      <x:c r="E94" s="214"/>
      <x:c r="F94" s="214"/>
      <x:c r="G94" s="214"/>
      <x:c r="H94" s="214"/>
      <x:c r="I94" s="214"/>
      <x:c r="J94" s="214"/>
      <x:c r="K94" s="214"/>
      <x:c r="L94" s="214"/>
      <x:c r="M94" s="214"/>
      <x:c r="N94" s="214"/>
      <x:c r="O94" s="214"/>
      <x:c r="P94" s="214"/>
    </x:row>
    <x:row r="95">
      <x:c r="A95" s="214"/>
      <x:c r="B95" s="214"/>
      <x:c r="C95" s="214"/>
      <x:c r="D95" s="214"/>
      <x:c r="E95" s="214"/>
      <x:c r="F95" s="214"/>
      <x:c r="G95" s="214"/>
      <x:c r="H95" s="214"/>
      <x:c r="I95" s="214"/>
      <x:c r="J95" s="214"/>
      <x:c r="K95" s="214"/>
      <x:c r="L95" s="214"/>
      <x:c r="M95" s="214"/>
      <x:c r="N95" s="214"/>
      <x:c r="O95" s="214"/>
      <x:c r="P95" s="214"/>
    </x:row>
    <x:row r="96">
      <x:c r="A96" s="214"/>
      <x:c r="B96" s="214"/>
      <x:c r="C96" s="214"/>
      <x:c r="D96" s="214"/>
      <x:c r="E96" s="214"/>
      <x:c r="F96" s="214"/>
      <x:c r="G96" s="214"/>
      <x:c r="H96" s="214"/>
      <x:c r="I96" s="214"/>
      <x:c r="J96" s="214"/>
      <x:c r="K96" s="214"/>
      <x:c r="L96" s="214"/>
      <x:c r="M96" s="214"/>
      <x:c r="N96" s="214"/>
      <x:c r="O96" s="214"/>
      <x:c r="P96" s="214"/>
    </x:row>
    <x:row r="97">
      <x:c r="A97" s="214"/>
      <x:c r="B97" s="214"/>
      <x:c r="C97" s="214"/>
      <x:c r="D97" s="214"/>
      <x:c r="E97" s="214"/>
      <x:c r="F97" s="214"/>
      <x:c r="G97" s="214"/>
      <x:c r="H97" s="214"/>
      <x:c r="I97" s="214"/>
      <x:c r="J97" s="214"/>
      <x:c r="K97" s="214"/>
      <x:c r="L97" s="214"/>
      <x:c r="M97" s="214"/>
      <x:c r="N97" s="214"/>
      <x:c r="O97" s="214"/>
      <x:c r="P97" s="214"/>
    </x:row>
    <x:row r="98">
      <x:c r="A98" s="214"/>
      <x:c r="B98" s="214"/>
      <x:c r="C98" s="214"/>
      <x:c r="D98" s="214"/>
      <x:c r="E98" s="214"/>
      <x:c r="F98" s="214"/>
      <x:c r="G98" s="214"/>
      <x:c r="H98" s="214"/>
      <x:c r="I98" s="214"/>
      <x:c r="J98" s="214"/>
      <x:c r="K98" s="214"/>
      <x:c r="L98" s="214"/>
      <x:c r="M98" s="214"/>
      <x:c r="N98" s="214"/>
      <x:c r="O98" s="214"/>
      <x:c r="P98" s="214"/>
    </x:row>
    <x:row r="99">
      <x:c r="A99" s="214"/>
      <x:c r="B99" s="214"/>
      <x:c r="C99" s="214"/>
      <x:c r="D99" s="214"/>
      <x:c r="E99" s="214"/>
      <x:c r="F99" s="214"/>
      <x:c r="G99" s="214"/>
      <x:c r="H99" s="214"/>
      <x:c r="I99" s="214"/>
      <x:c r="J99" s="214"/>
      <x:c r="K99" s="214"/>
      <x:c r="L99" s="214"/>
      <x:c r="M99" s="214"/>
      <x:c r="N99" s="214"/>
      <x:c r="O99" s="214"/>
      <x:c r="P99" s="214"/>
    </x:row>
    <x:row r="100">
      <x:c r="A100" s="214"/>
      <x:c r="B100" s="214"/>
      <x:c r="C100" s="214"/>
      <x:c r="D100" s="214"/>
      <x:c r="E100" s="214"/>
      <x:c r="F100" s="214"/>
      <x:c r="G100" s="214"/>
      <x:c r="H100" s="214"/>
      <x:c r="I100" s="214"/>
      <x:c r="J100" s="214"/>
      <x:c r="K100" s="214"/>
      <x:c r="L100" s="214"/>
      <x:c r="M100" s="214"/>
      <x:c r="N100" s="214"/>
      <x:c r="O100" s="214"/>
      <x:c r="P100" s="214"/>
    </x:row>
    <x:row r="101">
      <x:c r="A101" s="214"/>
      <x:c r="B101" s="214"/>
      <x:c r="C101" s="214"/>
      <x:c r="D101" s="214"/>
      <x:c r="E101" s="214"/>
      <x:c r="F101" s="214"/>
      <x:c r="G101" s="214"/>
      <x:c r="H101" s="214"/>
      <x:c r="I101" s="214"/>
      <x:c r="J101" s="214"/>
      <x:c r="K101" s="214"/>
      <x:c r="L101" s="214"/>
      <x:c r="M101" s="214"/>
      <x:c r="N101" s="214"/>
      <x:c r="O101" s="214"/>
      <x:c r="P101" s="214"/>
    </x:row>
    <x:row r="102">
      <x:c r="A102" s="214"/>
      <x:c r="B102" s="214"/>
      <x:c r="C102" s="214"/>
      <x:c r="D102" s="214"/>
      <x:c r="E102" s="214"/>
      <x:c r="F102" s="214"/>
      <x:c r="G102" s="214"/>
      <x:c r="H102" s="214"/>
      <x:c r="I102" s="214"/>
      <x:c r="J102" s="214"/>
      <x:c r="K102" s="214"/>
      <x:c r="L102" s="214"/>
      <x:c r="M102" s="214"/>
      <x:c r="N102" s="214"/>
      <x:c r="O102" s="214"/>
      <x:c r="P102" s="214"/>
    </x:row>
    <x:row r="103">
      <x:c r="A103" s="214"/>
      <x:c r="B103" s="214"/>
      <x:c r="C103" s="214"/>
      <x:c r="D103" s="214"/>
      <x:c r="E103" s="214"/>
      <x:c r="F103" s="214"/>
      <x:c r="G103" s="214"/>
      <x:c r="H103" s="214"/>
      <x:c r="I103" s="214"/>
      <x:c r="J103" s="214"/>
      <x:c r="K103" s="214"/>
      <x:c r="L103" s="214"/>
      <x:c r="M103" s="214"/>
      <x:c r="N103" s="214"/>
      <x:c r="O103" s="214"/>
      <x:c r="P103" s="214"/>
    </x:row>
    <x:row r="104">
      <x:c r="A104" s="214"/>
      <x:c r="B104" s="214"/>
      <x:c r="C104" s="214"/>
      <x:c r="D104" s="214"/>
      <x:c r="E104" s="214"/>
      <x:c r="F104" s="214"/>
      <x:c r="G104" s="214"/>
      <x:c r="H104" s="214"/>
      <x:c r="I104" s="214"/>
      <x:c r="J104" s="214"/>
      <x:c r="K104" s="214"/>
      <x:c r="L104" s="214"/>
      <x:c r="M104" s="214"/>
      <x:c r="N104" s="214"/>
      <x:c r="O104" s="214"/>
      <x:c r="P104" s="214"/>
    </x:row>
    <x:row r="105">
      <x:c r="A105" s="214"/>
      <x:c r="B105" s="214"/>
      <x:c r="C105" s="214"/>
      <x:c r="D105" s="214"/>
      <x:c r="E105" s="214"/>
      <x:c r="F105" s="214"/>
      <x:c r="G105" s="214"/>
      <x:c r="H105" s="214"/>
      <x:c r="I105" s="214"/>
      <x:c r="J105" s="214"/>
      <x:c r="K105" s="214"/>
      <x:c r="L105" s="214"/>
      <x:c r="M105" s="214"/>
      <x:c r="N105" s="214"/>
      <x:c r="O105" s="214"/>
      <x:c r="P105" s="214"/>
    </x:row>
    <x:row r="106">
      <x:c r="A106" s="214"/>
      <x:c r="B106" s="214"/>
      <x:c r="C106" s="214"/>
      <x:c r="D106" s="214"/>
      <x:c r="E106" s="214"/>
      <x:c r="F106" s="214"/>
      <x:c r="G106" s="214"/>
      <x:c r="H106" s="214"/>
      <x:c r="I106" s="214"/>
      <x:c r="J106" s="214"/>
      <x:c r="K106" s="214"/>
      <x:c r="L106" s="214"/>
      <x:c r="M106" s="214"/>
      <x:c r="N106" s="214"/>
      <x:c r="O106" s="214"/>
      <x:c r="P106" s="214"/>
    </x:row>
    <x:row r="107">
      <x:c r="A107" s="214"/>
      <x:c r="B107" s="214"/>
      <x:c r="C107" s="214"/>
      <x:c r="D107" s="214"/>
      <x:c r="E107" s="214"/>
      <x:c r="F107" s="214"/>
      <x:c r="G107" s="214"/>
      <x:c r="H107" s="214"/>
      <x:c r="I107" s="214"/>
      <x:c r="J107" s="214"/>
      <x:c r="K107" s="214"/>
      <x:c r="L107" s="214"/>
      <x:c r="M107" s="214"/>
      <x:c r="N107" s="214"/>
      <x:c r="O107" s="214"/>
      <x:c r="P107" s="214"/>
    </x:row>
    <x:row r="108">
      <x:c r="A108" s="214"/>
      <x:c r="B108" s="214"/>
      <x:c r="C108" s="214"/>
      <x:c r="D108" s="214"/>
      <x:c r="E108" s="214"/>
      <x:c r="F108" s="214"/>
      <x:c r="G108" s="214"/>
      <x:c r="H108" s="214"/>
      <x:c r="I108" s="214"/>
      <x:c r="J108" s="214"/>
      <x:c r="K108" s="214"/>
      <x:c r="L108" s="214"/>
      <x:c r="M108" s="214"/>
      <x:c r="N108" s="214"/>
      <x:c r="O108" s="214"/>
      <x:c r="P108" s="214"/>
    </x:row>
    <x:row r="109">
      <x:c r="A109" s="214"/>
      <x:c r="B109" s="214"/>
      <x:c r="C109" s="214"/>
      <x:c r="D109" s="214"/>
      <x:c r="E109" s="214"/>
      <x:c r="F109" s="214"/>
      <x:c r="G109" s="214"/>
      <x:c r="H109" s="214"/>
      <x:c r="I109" s="214"/>
      <x:c r="J109" s="214"/>
      <x:c r="K109" s="214"/>
      <x:c r="L109" s="214"/>
      <x:c r="M109" s="214"/>
      <x:c r="N109" s="214"/>
      <x:c r="O109" s="214"/>
      <x:c r="P109" s="214"/>
    </x:row>
    <x:row r="110">
      <x:c r="A110" s="214"/>
      <x:c r="B110" s="214"/>
      <x:c r="C110" s="214"/>
      <x:c r="D110" s="214"/>
      <x:c r="E110" s="214"/>
      <x:c r="F110" s="214"/>
      <x:c r="G110" s="214"/>
      <x:c r="H110" s="214"/>
      <x:c r="I110" s="214"/>
      <x:c r="J110" s="214"/>
      <x:c r="K110" s="214"/>
      <x:c r="L110" s="214"/>
      <x:c r="M110" s="214"/>
      <x:c r="N110" s="214"/>
      <x:c r="O110" s="214"/>
      <x:c r="P110" s="214"/>
    </x:row>
    <x:row r="111">
      <x:c r="A111" s="214"/>
      <x:c r="B111" s="214"/>
      <x:c r="C111" s="214"/>
      <x:c r="D111" s="214"/>
      <x:c r="E111" s="214"/>
      <x:c r="F111" s="214"/>
      <x:c r="G111" s="214"/>
      <x:c r="H111" s="214"/>
      <x:c r="I111" s="214"/>
      <x:c r="J111" s="214"/>
      <x:c r="K111" s="214"/>
      <x:c r="L111" s="214"/>
      <x:c r="M111" s="214"/>
      <x:c r="N111" s="214"/>
      <x:c r="O111" s="214"/>
      <x:c r="P111" s="214"/>
    </x:row>
    <x:row r="112">
      <x:c r="A112" s="214"/>
      <x:c r="B112" s="214"/>
      <x:c r="C112" s="214"/>
      <x:c r="D112" s="214"/>
      <x:c r="E112" s="214"/>
      <x:c r="F112" s="214"/>
      <x:c r="G112" s="214"/>
      <x:c r="H112" s="214"/>
      <x:c r="I112" s="214"/>
      <x:c r="J112" s="214"/>
      <x:c r="K112" s="214"/>
      <x:c r="L112" s="214"/>
      <x:c r="M112" s="214"/>
      <x:c r="N112" s="214"/>
      <x:c r="O112" s="214"/>
      <x:c r="P112" s="214"/>
    </x:row>
    <x:row r="113">
      <x:c r="A113" s="214"/>
      <x:c r="B113" s="214"/>
      <x:c r="C113" s="214"/>
      <x:c r="D113" s="214"/>
      <x:c r="E113" s="214"/>
      <x:c r="F113" s="214"/>
      <x:c r="G113" s="214"/>
      <x:c r="H113" s="214"/>
      <x:c r="I113" s="214"/>
      <x:c r="J113" s="214"/>
      <x:c r="K113" s="214"/>
      <x:c r="L113" s="214"/>
      <x:c r="M113" s="214"/>
      <x:c r="N113" s="214"/>
      <x:c r="O113" s="214"/>
      <x:c r="P113" s="214"/>
    </x:row>
    <x:row r="114">
      <x:c r="A114" s="214"/>
      <x:c r="B114" s="214"/>
      <x:c r="C114" s="214"/>
      <x:c r="D114" s="214"/>
      <x:c r="E114" s="214"/>
      <x:c r="F114" s="214"/>
      <x:c r="G114" s="214"/>
      <x:c r="H114" s="214"/>
      <x:c r="I114" s="214"/>
      <x:c r="J114" s="214"/>
      <x:c r="K114" s="214"/>
      <x:c r="L114" s="214"/>
      <x:c r="M114" s="214"/>
      <x:c r="N114" s="214"/>
      <x:c r="O114" s="214"/>
      <x:c r="P114" s="214"/>
    </x:row>
    <x:row r="115">
      <x:c r="A115" s="214"/>
      <x:c r="B115" s="214"/>
      <x:c r="C115" s="214"/>
      <x:c r="D115" s="214"/>
      <x:c r="E115" s="214"/>
      <x:c r="F115" s="214"/>
      <x:c r="G115" s="214"/>
      <x:c r="H115" s="214"/>
      <x:c r="I115" s="214"/>
      <x:c r="J115" s="214"/>
      <x:c r="K115" s="214"/>
      <x:c r="L115" s="214"/>
      <x:c r="M115" s="214"/>
      <x:c r="N115" s="214"/>
      <x:c r="O115" s="214"/>
      <x:c r="P115" s="214"/>
    </x:row>
    <x:row r="116">
      <x:c r="A116" s="214"/>
      <x:c r="B116" s="214"/>
      <x:c r="C116" s="214"/>
      <x:c r="D116" s="214"/>
      <x:c r="E116" s="214"/>
      <x:c r="F116" s="214"/>
      <x:c r="G116" s="214"/>
      <x:c r="H116" s="214"/>
      <x:c r="I116" s="214"/>
      <x:c r="J116" s="214"/>
      <x:c r="K116" s="214"/>
      <x:c r="L116" s="214"/>
      <x:c r="M116" s="214"/>
      <x:c r="N116" s="214"/>
      <x:c r="O116" s="214"/>
      <x:c r="P116" s="214"/>
    </x:row>
    <x:row r="117">
      <x:c r="A117" s="214"/>
      <x:c r="B117" s="214"/>
      <x:c r="C117" s="214"/>
      <x:c r="D117" s="214"/>
      <x:c r="E117" s="214"/>
      <x:c r="F117" s="214"/>
      <x:c r="G117" s="214"/>
      <x:c r="H117" s="214"/>
      <x:c r="I117" s="214"/>
      <x:c r="J117" s="214"/>
      <x:c r="K117" s="214"/>
      <x:c r="L117" s="214"/>
      <x:c r="M117" s="214"/>
      <x:c r="N117" s="214"/>
      <x:c r="O117" s="214"/>
      <x:c r="P117" s="214"/>
    </x:row>
    <x:row r="118">
      <x:c r="A118" s="214"/>
      <x:c r="B118" s="214"/>
      <x:c r="C118" s="214"/>
      <x:c r="D118" s="214"/>
      <x:c r="E118" s="214"/>
      <x:c r="F118" s="214"/>
      <x:c r="G118" s="214"/>
      <x:c r="H118" s="214"/>
      <x:c r="I118" s="214"/>
      <x:c r="J118" s="214"/>
      <x:c r="K118" s="214"/>
      <x:c r="L118" s="214"/>
      <x:c r="M118" s="214"/>
      <x:c r="N118" s="214"/>
      <x:c r="O118" s="214"/>
      <x:c r="P118" s="214"/>
    </x:row>
    <x:row r="119">
      <x:c r="A119" s="214"/>
      <x:c r="B119" s="214"/>
      <x:c r="C119" s="214"/>
      <x:c r="D119" s="214"/>
      <x:c r="E119" s="214"/>
      <x:c r="F119" s="214"/>
      <x:c r="G119" s="214"/>
      <x:c r="H119" s="214"/>
      <x:c r="I119" s="214"/>
      <x:c r="J119" s="214"/>
      <x:c r="K119" s="214"/>
      <x:c r="L119" s="214"/>
      <x:c r="M119" s="214"/>
      <x:c r="N119" s="214"/>
      <x:c r="O119" s="214"/>
      <x:c r="P119" s="214"/>
    </x:row>
    <x:row r="120">
      <x:c r="A120" s="214"/>
      <x:c r="B120" s="214"/>
      <x:c r="C120" s="214"/>
      <x:c r="D120" s="214"/>
      <x:c r="E120" s="214"/>
      <x:c r="F120" s="214"/>
      <x:c r="G120" s="214"/>
      <x:c r="H120" s="214"/>
      <x:c r="I120" s="214"/>
      <x:c r="J120" s="214"/>
      <x:c r="K120" s="214"/>
      <x:c r="L120" s="214"/>
      <x:c r="M120" s="214"/>
      <x:c r="N120" s="214"/>
      <x:c r="O120" s="214"/>
      <x:c r="P120" s="214"/>
    </x:row>
    <x:row r="121">
      <x:c r="A121" s="214"/>
      <x:c r="B121" s="214"/>
      <x:c r="C121" s="214"/>
      <x:c r="D121" s="214"/>
      <x:c r="E121" s="214"/>
      <x:c r="F121" s="214"/>
      <x:c r="G121" s="214"/>
      <x:c r="H121" s="214"/>
      <x:c r="I121" s="214"/>
      <x:c r="J121" s="214"/>
      <x:c r="K121" s="214"/>
      <x:c r="L121" s="214"/>
      <x:c r="M121" s="214"/>
      <x:c r="N121" s="214"/>
      <x:c r="O121" s="214"/>
      <x:c r="P121" s="214"/>
    </x:row>
    <x:row r="122">
      <x:c r="A122" s="214"/>
      <x:c r="B122" s="214"/>
      <x:c r="C122" s="214"/>
      <x:c r="D122" s="214"/>
      <x:c r="E122" s="214"/>
      <x:c r="F122" s="214"/>
      <x:c r="G122" s="214"/>
      <x:c r="H122" s="214"/>
      <x:c r="I122" s="214"/>
      <x:c r="J122" s="214"/>
      <x:c r="K122" s="214"/>
      <x:c r="L122" s="214"/>
      <x:c r="M122" s="214"/>
      <x:c r="N122" s="214"/>
      <x:c r="O122" s="214"/>
      <x:c r="P122" s="214"/>
    </x:row>
    <x:row r="123">
      <x:c r="A123" s="214"/>
      <x:c r="B123" s="214"/>
      <x:c r="C123" s="214"/>
      <x:c r="D123" s="214"/>
      <x:c r="E123" s="214"/>
      <x:c r="F123" s="214"/>
      <x:c r="G123" s="214"/>
      <x:c r="H123" s="214"/>
      <x:c r="I123" s="214"/>
      <x:c r="J123" s="214"/>
      <x:c r="K123" s="214"/>
      <x:c r="L123" s="214"/>
      <x:c r="M123" s="214"/>
      <x:c r="N123" s="214"/>
      <x:c r="O123" s="214"/>
      <x:c r="P123" s="214"/>
    </x:row>
    <x:row r="124">
      <x:c r="A124" s="214"/>
      <x:c r="B124" s="214"/>
      <x:c r="C124" s="214"/>
      <x:c r="D124" s="214"/>
      <x:c r="E124" s="214"/>
      <x:c r="F124" s="214"/>
      <x:c r="G124" s="214"/>
      <x:c r="H124" s="214"/>
      <x:c r="I124" s="214"/>
      <x:c r="J124" s="214"/>
      <x:c r="K124" s="214"/>
      <x:c r="L124" s="214"/>
      <x:c r="M124" s="214"/>
      <x:c r="N124" s="214"/>
      <x:c r="O124" s="214"/>
      <x:c r="P124" s="214"/>
    </x:row>
    <x:row r="125">
      <x:c r="A125" s="214"/>
      <x:c r="B125" s="214"/>
      <x:c r="C125" s="214"/>
      <x:c r="D125" s="214"/>
      <x:c r="E125" s="214"/>
      <x:c r="F125" s="214"/>
      <x:c r="G125" s="214"/>
      <x:c r="H125" s="214"/>
      <x:c r="I125" s="214"/>
      <x:c r="J125" s="214"/>
      <x:c r="K125" s="214"/>
      <x:c r="L125" s="214"/>
      <x:c r="M125" s="214"/>
      <x:c r="N125" s="214"/>
      <x:c r="O125" s="214"/>
      <x:c r="P125" s="214"/>
    </x:row>
    <x:row r="126">
      <x:c r="A126" s="214"/>
      <x:c r="B126" s="214"/>
      <x:c r="C126" s="214"/>
      <x:c r="D126" s="214"/>
      <x:c r="E126" s="214"/>
      <x:c r="F126" s="214"/>
      <x:c r="G126" s="214"/>
      <x:c r="H126" s="214"/>
      <x:c r="I126" s="214"/>
      <x:c r="J126" s="214"/>
      <x:c r="K126" s="214"/>
      <x:c r="L126" s="214"/>
      <x:c r="M126" s="214"/>
      <x:c r="N126" s="214"/>
      <x:c r="O126" s="214"/>
      <x:c r="P126" s="214"/>
    </x:row>
    <x:row r="127">
      <x:c r="A127" s="214"/>
      <x:c r="B127" s="214"/>
      <x:c r="C127" s="214"/>
      <x:c r="D127" s="214"/>
      <x:c r="E127" s="214"/>
      <x:c r="F127" s="214"/>
      <x:c r="G127" s="214"/>
      <x:c r="H127" s="214"/>
      <x:c r="I127" s="214"/>
      <x:c r="J127" s="214"/>
      <x:c r="K127" s="214"/>
      <x:c r="L127" s="214"/>
      <x:c r="M127" s="214"/>
      <x:c r="N127" s="214"/>
      <x:c r="O127" s="214"/>
      <x:c r="P127" s="214"/>
    </x:row>
    <x:row r="128">
      <x:c r="A128" s="214"/>
      <x:c r="B128" s="214"/>
      <x:c r="C128" s="214"/>
      <x:c r="D128" s="214"/>
      <x:c r="E128" s="214"/>
      <x:c r="F128" s="214"/>
      <x:c r="G128" s="214"/>
      <x:c r="H128" s="214"/>
      <x:c r="I128" s="214"/>
      <x:c r="J128" s="214"/>
      <x:c r="K128" s="214"/>
      <x:c r="L128" s="214"/>
      <x:c r="M128" s="214"/>
      <x:c r="N128" s="214"/>
      <x:c r="O128" s="214"/>
      <x:c r="P128" s="214"/>
    </x:row>
    <x:row r="129">
      <x:c r="A129" s="214"/>
      <x:c r="B129" s="214"/>
      <x:c r="C129" s="214"/>
      <x:c r="D129" s="214"/>
      <x:c r="E129" s="214"/>
      <x:c r="F129" s="214"/>
      <x:c r="G129" s="214"/>
      <x:c r="H129" s="214"/>
      <x:c r="I129" s="214"/>
      <x:c r="J129" s="214"/>
      <x:c r="K129" s="214"/>
      <x:c r="L129" s="214"/>
      <x:c r="M129" s="214"/>
      <x:c r="N129" s="214"/>
      <x:c r="O129" s="214"/>
      <x:c r="P129" s="214"/>
    </x:row>
    <x:row r="130">
      <x:c r="A130" s="214"/>
      <x:c r="B130" s="214"/>
      <x:c r="C130" s="214"/>
      <x:c r="D130" s="214"/>
      <x:c r="E130" s="214"/>
      <x:c r="F130" s="214"/>
      <x:c r="G130" s="214"/>
      <x:c r="H130" s="214"/>
      <x:c r="I130" s="214"/>
      <x:c r="J130" s="214"/>
      <x:c r="K130" s="214"/>
      <x:c r="L130" s="214"/>
      <x:c r="M130" s="214"/>
      <x:c r="N130" s="214"/>
      <x:c r="O130" s="214"/>
      <x:c r="P130" s="214"/>
    </x:row>
    <x:row r="131">
      <x:c r="A131" s="214"/>
      <x:c r="B131" s="214"/>
      <x:c r="C131" s="214"/>
      <x:c r="D131" s="214"/>
      <x:c r="E131" s="214"/>
      <x:c r="F131" s="214"/>
      <x:c r="G131" s="214"/>
      <x:c r="H131" s="214"/>
      <x:c r="I131" s="214"/>
      <x:c r="J131" s="214"/>
      <x:c r="K131" s="214"/>
      <x:c r="L131" s="214"/>
      <x:c r="M131" s="214"/>
      <x:c r="N131" s="214"/>
      <x:c r="O131" s="214"/>
      <x:c r="P131" s="214"/>
    </x:row>
    <x:row r="132">
      <x:c r="A132" s="214"/>
      <x:c r="B132" s="214"/>
      <x:c r="C132" s="214"/>
      <x:c r="D132" s="214"/>
      <x:c r="E132" s="214"/>
      <x:c r="F132" s="214"/>
      <x:c r="G132" s="214"/>
      <x:c r="H132" s="214"/>
      <x:c r="I132" s="214"/>
      <x:c r="J132" s="214"/>
      <x:c r="K132" s="214"/>
      <x:c r="L132" s="214"/>
      <x:c r="M132" s="214"/>
      <x:c r="N132" s="214"/>
      <x:c r="O132" s="214"/>
      <x:c r="P132" s="214"/>
    </x:row>
    <x:row r="133">
      <x:c r="A133" s="214"/>
      <x:c r="B133" s="214"/>
      <x:c r="C133" s="214"/>
      <x:c r="D133" s="214"/>
      <x:c r="E133" s="214"/>
      <x:c r="F133" s="214"/>
      <x:c r="G133" s="214"/>
      <x:c r="H133" s="214"/>
      <x:c r="I133" s="214"/>
      <x:c r="J133" s="214"/>
      <x:c r="K133" s="214"/>
      <x:c r="L133" s="214"/>
      <x:c r="M133" s="214"/>
      <x:c r="N133" s="214"/>
      <x:c r="O133" s="214"/>
      <x:c r="P133" s="214"/>
    </x:row>
    <x:row r="134">
      <x:c r="A134" s="214"/>
      <x:c r="B134" s="214"/>
      <x:c r="C134" s="214"/>
      <x:c r="D134" s="214"/>
      <x:c r="E134" s="214"/>
      <x:c r="F134" s="214"/>
      <x:c r="G134" s="214"/>
      <x:c r="H134" s="214"/>
      <x:c r="I134" s="214"/>
      <x:c r="J134" s="214"/>
      <x:c r="K134" s="214"/>
      <x:c r="L134" s="214"/>
      <x:c r="M134" s="214"/>
      <x:c r="N134" s="214"/>
      <x:c r="O134" s="214"/>
      <x:c r="P134" s="214"/>
    </x:row>
    <x:row r="135">
      <x:c r="A135" s="214"/>
      <x:c r="B135" s="214"/>
      <x:c r="C135" s="214"/>
      <x:c r="D135" s="214"/>
      <x:c r="E135" s="214"/>
      <x:c r="F135" s="214"/>
      <x:c r="G135" s="214"/>
      <x:c r="H135" s="214"/>
      <x:c r="I135" s="214"/>
      <x:c r="J135" s="214"/>
      <x:c r="K135" s="214"/>
      <x:c r="L135" s="214"/>
      <x:c r="M135" s="214"/>
      <x:c r="N135" s="214"/>
      <x:c r="O135" s="214"/>
      <x:c r="P135" s="214"/>
    </x:row>
    <x:row r="136">
      <x:c r="A136" s="214"/>
      <x:c r="B136" s="214"/>
      <x:c r="C136" s="214"/>
      <x:c r="D136" s="214"/>
      <x:c r="E136" s="214"/>
      <x:c r="F136" s="214"/>
      <x:c r="G136" s="214"/>
      <x:c r="H136" s="214"/>
      <x:c r="I136" s="214"/>
      <x:c r="J136" s="214"/>
      <x:c r="K136" s="214"/>
      <x:c r="L136" s="214"/>
      <x:c r="M136" s="214"/>
      <x:c r="N136" s="214"/>
      <x:c r="O136" s="214"/>
      <x:c r="P136" s="214"/>
    </x:row>
    <x:row r="137">
      <x:c r="A137" s="214"/>
      <x:c r="B137" s="214"/>
      <x:c r="C137" s="214"/>
      <x:c r="D137" s="214"/>
      <x:c r="E137" s="214"/>
      <x:c r="F137" s="214"/>
      <x:c r="G137" s="214"/>
      <x:c r="H137" s="214"/>
      <x:c r="I137" s="214"/>
      <x:c r="J137" s="214"/>
      <x:c r="K137" s="214"/>
      <x:c r="L137" s="214"/>
      <x:c r="M137" s="214"/>
      <x:c r="N137" s="214"/>
      <x:c r="O137" s="214"/>
      <x:c r="P137" s="214"/>
    </x:row>
    <x:row r="138">
      <x:c r="A138" s="214"/>
      <x:c r="B138" s="214"/>
      <x:c r="C138" s="214"/>
      <x:c r="D138" s="214"/>
      <x:c r="E138" s="214"/>
      <x:c r="F138" s="214"/>
      <x:c r="G138" s="214"/>
      <x:c r="H138" s="214"/>
      <x:c r="I138" s="214"/>
      <x:c r="J138" s="214"/>
      <x:c r="K138" s="214"/>
      <x:c r="L138" s="214"/>
      <x:c r="M138" s="214"/>
      <x:c r="N138" s="214"/>
      <x:c r="O138" s="214"/>
      <x:c r="P138" s="214"/>
    </x:row>
    <x:row r="139">
      <x:c r="A139" s="214"/>
      <x:c r="B139" s="214"/>
      <x:c r="C139" s="214"/>
      <x:c r="D139" s="214"/>
      <x:c r="E139" s="214"/>
      <x:c r="F139" s="214"/>
      <x:c r="G139" s="214"/>
      <x:c r="H139" s="214"/>
      <x:c r="I139" s="214"/>
      <x:c r="J139" s="214"/>
      <x:c r="K139" s="214"/>
      <x:c r="L139" s="214"/>
      <x:c r="M139" s="214"/>
      <x:c r="N139" s="214"/>
      <x:c r="O139" s="214"/>
      <x:c r="P139" s="214"/>
    </x:row>
    <x:row r="140">
      <x:c r="A140" s="214"/>
      <x:c r="B140" s="214"/>
      <x:c r="C140" s="214"/>
      <x:c r="D140" s="214"/>
      <x:c r="E140" s="214"/>
      <x:c r="F140" s="214"/>
      <x:c r="G140" s="214"/>
      <x:c r="H140" s="214"/>
      <x:c r="I140" s="214"/>
      <x:c r="J140" s="214"/>
      <x:c r="K140" s="214"/>
      <x:c r="L140" s="214"/>
      <x:c r="M140" s="214"/>
      <x:c r="N140" s="214"/>
      <x:c r="O140" s="214"/>
      <x:c r="P140" s="214"/>
    </x:row>
    <x:row r="141">
      <x:c r="A141" s="214"/>
      <x:c r="B141" s="214"/>
      <x:c r="C141" s="214"/>
      <x:c r="D141" s="214"/>
      <x:c r="E141" s="214"/>
      <x:c r="F141" s="214"/>
      <x:c r="G141" s="214"/>
      <x:c r="H141" s="214"/>
      <x:c r="I141" s="214"/>
      <x:c r="J141" s="214"/>
      <x:c r="K141" s="214"/>
      <x:c r="L141" s="214"/>
      <x:c r="M141" s="214"/>
      <x:c r="N141" s="214"/>
      <x:c r="O141" s="214"/>
      <x:c r="P141" s="214"/>
    </x:row>
    <x:row r="142">
      <x:c r="A142" s="214"/>
      <x:c r="B142" s="214"/>
      <x:c r="C142" s="214"/>
      <x:c r="D142" s="214"/>
      <x:c r="E142" s="214"/>
      <x:c r="F142" s="214"/>
      <x:c r="G142" s="214"/>
      <x:c r="H142" s="214"/>
      <x:c r="I142" s="214"/>
      <x:c r="J142" s="214"/>
      <x:c r="K142" s="214"/>
      <x:c r="L142" s="214"/>
      <x:c r="M142" s="214"/>
      <x:c r="N142" s="214"/>
      <x:c r="O142" s="214"/>
      <x:c r="P142" s="214"/>
    </x:row>
    <x:row r="143">
      <x:c r="A143" s="214"/>
      <x:c r="B143" s="214"/>
      <x:c r="C143" s="214"/>
      <x:c r="D143" s="214"/>
      <x:c r="E143" s="214"/>
      <x:c r="F143" s="214"/>
      <x:c r="G143" s="214"/>
      <x:c r="H143" s="214"/>
      <x:c r="I143" s="214"/>
      <x:c r="J143" s="214"/>
      <x:c r="K143" s="214"/>
      <x:c r="L143" s="214"/>
      <x:c r="M143" s="214"/>
      <x:c r="N143" s="214"/>
      <x:c r="O143" s="214"/>
      <x:c r="P143" s="214"/>
    </x:row>
    <x:row r="144">
      <x:c r="A144" s="214"/>
      <x:c r="B144" s="214"/>
      <x:c r="C144" s="214"/>
      <x:c r="D144" s="214"/>
      <x:c r="E144" s="214"/>
      <x:c r="F144" s="214"/>
      <x:c r="G144" s="214"/>
      <x:c r="H144" s="214"/>
      <x:c r="I144" s="214"/>
      <x:c r="J144" s="214"/>
      <x:c r="K144" s="214"/>
      <x:c r="L144" s="214"/>
      <x:c r="M144" s="214"/>
      <x:c r="N144" s="214"/>
      <x:c r="O144" s="214"/>
      <x:c r="P144" s="214"/>
    </x:row>
    <x:row r="145">
      <x:c r="A145" s="214"/>
      <x:c r="B145" s="214"/>
      <x:c r="C145" s="214"/>
      <x:c r="D145" s="214"/>
      <x:c r="E145" s="214"/>
      <x:c r="F145" s="214"/>
      <x:c r="G145" s="214"/>
      <x:c r="H145" s="214"/>
      <x:c r="I145" s="214"/>
      <x:c r="J145" s="214"/>
      <x:c r="K145" s="214"/>
      <x:c r="L145" s="214"/>
      <x:c r="M145" s="214"/>
      <x:c r="N145" s="214"/>
      <x:c r="O145" s="214"/>
      <x:c r="P145" s="214"/>
    </x:row>
    <x:row r="146">
      <x:c r="A146" s="214"/>
      <x:c r="B146" s="214"/>
      <x:c r="C146" s="214"/>
      <x:c r="D146" s="214"/>
      <x:c r="E146" s="214"/>
      <x:c r="F146" s="214"/>
      <x:c r="G146" s="214"/>
      <x:c r="H146" s="214"/>
      <x:c r="I146" s="214"/>
      <x:c r="J146" s="214"/>
      <x:c r="K146" s="214"/>
      <x:c r="L146" s="214"/>
      <x:c r="M146" s="214"/>
      <x:c r="N146" s="214"/>
      <x:c r="O146" s="214"/>
      <x:c r="P146" s="214"/>
    </x:row>
    <x:row r="147">
      <x:c r="A147" s="214"/>
      <x:c r="B147" s="214"/>
      <x:c r="C147" s="214"/>
      <x:c r="D147" s="214"/>
      <x:c r="E147" s="214"/>
      <x:c r="F147" s="214"/>
      <x:c r="G147" s="214"/>
      <x:c r="H147" s="214"/>
      <x:c r="I147" s="214"/>
      <x:c r="J147" s="214"/>
      <x:c r="K147" s="214"/>
      <x:c r="L147" s="214"/>
      <x:c r="M147" s="214"/>
      <x:c r="N147" s="214"/>
      <x:c r="O147" s="214"/>
      <x:c r="P147" s="214"/>
    </x:row>
    <x:row r="148">
      <x:c r="A148" s="214"/>
      <x:c r="B148" s="214"/>
      <x:c r="C148" s="214"/>
      <x:c r="D148" s="214"/>
      <x:c r="E148" s="214"/>
      <x:c r="F148" s="214"/>
      <x:c r="G148" s="214"/>
      <x:c r="H148" s="214"/>
      <x:c r="I148" s="214"/>
      <x:c r="J148" s="214"/>
      <x:c r="K148" s="214"/>
      <x:c r="L148" s="214"/>
      <x:c r="M148" s="214"/>
      <x:c r="N148" s="214"/>
      <x:c r="O148" s="214"/>
      <x:c r="P148" s="214"/>
    </x:row>
    <x:row r="149">
      <x:c r="A149" s="214"/>
      <x:c r="B149" s="214"/>
      <x:c r="C149" s="214"/>
      <x:c r="D149" s="214"/>
      <x:c r="E149" s="214"/>
      <x:c r="F149" s="214"/>
      <x:c r="G149" s="214"/>
      <x:c r="H149" s="214"/>
      <x:c r="I149" s="214"/>
      <x:c r="J149" s="214"/>
      <x:c r="K149" s="214"/>
      <x:c r="L149" s="214"/>
      <x:c r="M149" s="214"/>
      <x:c r="N149" s="214"/>
      <x:c r="O149" s="214"/>
      <x:c r="P149" s="214"/>
    </x:row>
    <x:row r="150">
      <x:c r="A150" s="214"/>
      <x:c r="B150" s="214"/>
      <x:c r="C150" s="214"/>
      <x:c r="D150" s="214"/>
      <x:c r="E150" s="214"/>
      <x:c r="F150" s="214"/>
      <x:c r="G150" s="214"/>
      <x:c r="H150" s="214"/>
      <x:c r="I150" s="214"/>
      <x:c r="J150" s="214"/>
      <x:c r="K150" s="214"/>
      <x:c r="L150" s="214"/>
      <x:c r="M150" s="214"/>
      <x:c r="N150" s="214"/>
      <x:c r="O150" s="214"/>
      <x:c r="P150" s="214"/>
    </x:row>
    <x:row r="151">
      <x:c r="A151" s="214"/>
      <x:c r="B151" s="214"/>
      <x:c r="C151" s="214"/>
      <x:c r="D151" s="214"/>
      <x:c r="E151" s="214"/>
      <x:c r="F151" s="214"/>
      <x:c r="G151" s="214"/>
      <x:c r="H151" s="214"/>
      <x:c r="I151" s="214"/>
      <x:c r="J151" s="214"/>
      <x:c r="K151" s="214"/>
      <x:c r="L151" s="214"/>
      <x:c r="M151" s="214"/>
      <x:c r="N151" s="214"/>
      <x:c r="O151" s="214"/>
      <x:c r="P151" s="214"/>
    </x:row>
    <x:row r="152">
      <x:c r="A152" s="214"/>
      <x:c r="B152" s="214"/>
      <x:c r="C152" s="214"/>
      <x:c r="D152" s="214"/>
      <x:c r="E152" s="214"/>
      <x:c r="F152" s="214"/>
      <x:c r="G152" s="214"/>
      <x:c r="H152" s="214"/>
      <x:c r="I152" s="214"/>
      <x:c r="J152" s="214"/>
      <x:c r="K152" s="214"/>
      <x:c r="L152" s="214"/>
      <x:c r="M152" s="214"/>
      <x:c r="N152" s="214"/>
      <x:c r="O152" s="214"/>
      <x:c r="P152" s="214"/>
    </x:row>
    <x:row r="153">
      <x:c r="A153" s="214"/>
      <x:c r="B153" s="214"/>
      <x:c r="C153" s="214"/>
      <x:c r="D153" s="214"/>
      <x:c r="E153" s="214"/>
      <x:c r="F153" s="214"/>
      <x:c r="G153" s="214"/>
      <x:c r="H153" s="214"/>
      <x:c r="I153" s="214"/>
      <x:c r="J153" s="214"/>
      <x:c r="K153" s="214"/>
      <x:c r="L153" s="214"/>
      <x:c r="M153" s="214"/>
      <x:c r="N153" s="214"/>
      <x:c r="O153" s="214"/>
      <x:c r="P153" s="214"/>
    </x:row>
    <x:row r="154">
      <x:c r="A154" s="214"/>
      <x:c r="B154" s="214"/>
      <x:c r="C154" s="214"/>
      <x:c r="D154" s="214"/>
      <x:c r="E154" s="214"/>
      <x:c r="F154" s="214"/>
      <x:c r="G154" s="214"/>
      <x:c r="H154" s="214"/>
      <x:c r="I154" s="214"/>
      <x:c r="J154" s="214"/>
      <x:c r="K154" s="214"/>
      <x:c r="L154" s="214"/>
      <x:c r="M154" s="214"/>
      <x:c r="N154" s="214"/>
      <x:c r="O154" s="214"/>
      <x:c r="P154" s="214"/>
    </x:row>
    <x:row r="155">
      <x:c r="A155" s="214"/>
      <x:c r="B155" s="214"/>
      <x:c r="C155" s="214"/>
      <x:c r="D155" s="214"/>
      <x:c r="E155" s="214"/>
      <x:c r="F155" s="214"/>
      <x:c r="G155" s="214"/>
      <x:c r="H155" s="214"/>
      <x:c r="I155" s="214"/>
      <x:c r="J155" s="214"/>
      <x:c r="K155" s="214"/>
      <x:c r="L155" s="214"/>
      <x:c r="M155" s="214"/>
      <x:c r="N155" s="214"/>
      <x:c r="O155" s="214"/>
      <x:c r="P155" s="214"/>
    </x:row>
    <x:row r="156">
      <x:c r="A156" s="214"/>
      <x:c r="B156" s="214"/>
      <x:c r="C156" s="214"/>
      <x:c r="D156" s="214"/>
      <x:c r="E156" s="214"/>
      <x:c r="F156" s="214"/>
      <x:c r="G156" s="214"/>
      <x:c r="H156" s="214"/>
      <x:c r="I156" s="214"/>
      <x:c r="J156" s="214"/>
      <x:c r="K156" s="214"/>
      <x:c r="L156" s="214"/>
      <x:c r="M156" s="214"/>
      <x:c r="N156" s="214"/>
      <x:c r="O156" s="214"/>
      <x:c r="P156" s="214"/>
    </x:row>
    <x:row r="157">
      <x:c r="A157" s="214"/>
      <x:c r="B157" s="214"/>
      <x:c r="C157" s="214"/>
      <x:c r="D157" s="214"/>
      <x:c r="E157" s="214"/>
      <x:c r="F157" s="214"/>
      <x:c r="G157" s="214"/>
      <x:c r="H157" s="214"/>
      <x:c r="I157" s="214"/>
      <x:c r="J157" s="214"/>
      <x:c r="K157" s="214"/>
      <x:c r="L157" s="214"/>
      <x:c r="M157" s="214"/>
      <x:c r="N157" s="214"/>
      <x:c r="O157" s="214"/>
      <x:c r="P157" s="214"/>
    </x:row>
    <x:row r="158">
      <x:c r="A158" s="214"/>
      <x:c r="B158" s="214"/>
      <x:c r="C158" s="214"/>
      <x:c r="D158" s="214"/>
      <x:c r="E158" s="214"/>
      <x:c r="F158" s="214"/>
      <x:c r="G158" s="214"/>
      <x:c r="H158" s="214"/>
      <x:c r="I158" s="214"/>
      <x:c r="J158" s="214"/>
      <x:c r="K158" s="214"/>
      <x:c r="L158" s="214"/>
      <x:c r="M158" s="214"/>
      <x:c r="N158" s="214"/>
      <x:c r="O158" s="214"/>
      <x:c r="P158" s="214"/>
    </x:row>
    <x:row r="159">
      <x:c r="A159" s="214"/>
      <x:c r="B159" s="214"/>
      <x:c r="C159" s="214"/>
      <x:c r="D159" s="214"/>
      <x:c r="E159" s="214"/>
      <x:c r="F159" s="214"/>
      <x:c r="G159" s="214"/>
      <x:c r="H159" s="214"/>
      <x:c r="I159" s="214"/>
      <x:c r="J159" s="214"/>
      <x:c r="K159" s="214"/>
      <x:c r="L159" s="214"/>
      <x:c r="M159" s="214"/>
      <x:c r="N159" s="214"/>
      <x:c r="O159" s="214"/>
      <x:c r="P159" s="214"/>
    </x:row>
    <x:row r="160">
      <x:c r="A160" s="214"/>
      <x:c r="B160" s="214"/>
      <x:c r="C160" s="214"/>
      <x:c r="D160" s="214"/>
      <x:c r="E160" s="214"/>
      <x:c r="F160" s="214"/>
      <x:c r="G160" s="214"/>
      <x:c r="H160" s="214"/>
      <x:c r="I160" s="214"/>
      <x:c r="J160" s="214"/>
      <x:c r="K160" s="214"/>
      <x:c r="L160" s="214"/>
      <x:c r="M160" s="214"/>
      <x:c r="N160" s="214"/>
      <x:c r="O160" s="214"/>
      <x:c r="P160" s="214"/>
    </x:row>
    <x:row r="161">
      <x:c r="A161" s="214"/>
      <x:c r="B161" s="214"/>
      <x:c r="C161" s="214"/>
      <x:c r="D161" s="214"/>
      <x:c r="E161" s="214"/>
      <x:c r="F161" s="214"/>
      <x:c r="G161" s="214"/>
      <x:c r="H161" s="214"/>
      <x:c r="I161" s="214"/>
      <x:c r="J161" s="214"/>
      <x:c r="K161" s="214"/>
      <x:c r="L161" s="214"/>
      <x:c r="M161" s="214"/>
      <x:c r="N161" s="214"/>
      <x:c r="O161" s="214"/>
      <x:c r="P161" s="214"/>
    </x:row>
    <x:row r="162">
      <x:c r="A162" s="214"/>
      <x:c r="B162" s="214"/>
      <x:c r="C162" s="214"/>
      <x:c r="D162" s="214"/>
      <x:c r="E162" s="214"/>
      <x:c r="F162" s="214"/>
      <x:c r="G162" s="214"/>
      <x:c r="H162" s="214"/>
      <x:c r="I162" s="214"/>
      <x:c r="J162" s="214"/>
      <x:c r="K162" s="214"/>
      <x:c r="L162" s="214"/>
      <x:c r="M162" s="214"/>
      <x:c r="N162" s="214"/>
      <x:c r="O162" s="214"/>
      <x:c r="P162" s="214"/>
    </x:row>
    <x:row r="163">
      <x:c r="A163" s="214"/>
      <x:c r="B163" s="214"/>
      <x:c r="C163" s="214"/>
      <x:c r="D163" s="214"/>
      <x:c r="E163" s="214"/>
      <x:c r="F163" s="214"/>
      <x:c r="G163" s="214"/>
      <x:c r="H163" s="214"/>
      <x:c r="I163" s="214"/>
      <x:c r="J163" s="214"/>
      <x:c r="K163" s="214"/>
      <x:c r="L163" s="214"/>
      <x:c r="M163" s="214"/>
      <x:c r="N163" s="214"/>
      <x:c r="O163" s="214"/>
      <x:c r="P163" s="214"/>
    </x:row>
    <x:row r="164">
      <x:c r="A164" s="214"/>
      <x:c r="B164" s="214"/>
      <x:c r="C164" s="214"/>
      <x:c r="D164" s="214"/>
      <x:c r="E164" s="214"/>
      <x:c r="F164" s="214"/>
      <x:c r="G164" s="214"/>
      <x:c r="H164" s="214"/>
      <x:c r="I164" s="214"/>
      <x:c r="J164" s="214"/>
      <x:c r="K164" s="214"/>
      <x:c r="L164" s="214"/>
      <x:c r="M164" s="214"/>
      <x:c r="N164" s="214"/>
      <x:c r="O164" s="214"/>
      <x:c r="P164" s="214"/>
    </x:row>
    <x:row r="165">
      <x:c r="A165" s="214"/>
      <x:c r="B165" s="214"/>
      <x:c r="C165" s="214"/>
      <x:c r="D165" s="214"/>
      <x:c r="E165" s="214"/>
      <x:c r="F165" s="214"/>
      <x:c r="G165" s="214"/>
      <x:c r="H165" s="214"/>
      <x:c r="I165" s="214"/>
      <x:c r="J165" s="214"/>
      <x:c r="K165" s="214"/>
      <x:c r="L165" s="214"/>
      <x:c r="M165" s="214"/>
      <x:c r="N165" s="214"/>
      <x:c r="O165" s="214"/>
      <x:c r="P165" s="214"/>
    </x:row>
    <x:row r="166">
      <x:c r="A166" s="214"/>
      <x:c r="B166" s="214"/>
      <x:c r="C166" s="214"/>
      <x:c r="D166" s="214"/>
      <x:c r="E166" s="214"/>
      <x:c r="F166" s="214"/>
      <x:c r="G166" s="214"/>
      <x:c r="H166" s="214"/>
      <x:c r="I166" s="214"/>
      <x:c r="J166" s="214"/>
      <x:c r="K166" s="214"/>
      <x:c r="L166" s="214"/>
      <x:c r="M166" s="214"/>
      <x:c r="N166" s="214"/>
      <x:c r="O166" s="214"/>
      <x:c r="P166" s="214"/>
    </x:row>
    <x:row r="167">
      <x:c r="A167" s="214"/>
      <x:c r="B167" s="214"/>
      <x:c r="C167" s="214"/>
      <x:c r="D167" s="214"/>
      <x:c r="E167" s="214"/>
      <x:c r="F167" s="214"/>
      <x:c r="G167" s="214"/>
      <x:c r="H167" s="214"/>
      <x:c r="I167" s="214"/>
      <x:c r="J167" s="214"/>
      <x:c r="K167" s="214"/>
      <x:c r="L167" s="214"/>
      <x:c r="M167" s="214"/>
      <x:c r="N167" s="214"/>
      <x:c r="O167" s="214"/>
      <x:c r="P167" s="214"/>
    </x:row>
    <x:row r="168">
      <x:c r="A168" s="214"/>
      <x:c r="B168" s="214"/>
      <x:c r="C168" s="214"/>
      <x:c r="D168" s="214"/>
      <x:c r="E168" s="214"/>
      <x:c r="F168" s="214"/>
      <x:c r="G168" s="214"/>
      <x:c r="H168" s="214"/>
      <x:c r="I168" s="214"/>
      <x:c r="J168" s="214"/>
      <x:c r="K168" s="214"/>
      <x:c r="L168" s="214"/>
      <x:c r="M168" s="214"/>
      <x:c r="N168" s="214"/>
      <x:c r="O168" s="214"/>
      <x:c r="P168" s="214"/>
    </x:row>
    <x:row r="169">
      <x:c r="A169" s="214"/>
      <x:c r="B169" s="214"/>
      <x:c r="C169" s="214"/>
      <x:c r="D169" s="214"/>
      <x:c r="E169" s="214"/>
      <x:c r="F169" s="214"/>
      <x:c r="G169" s="214"/>
      <x:c r="H169" s="214"/>
      <x:c r="I169" s="214"/>
      <x:c r="J169" s="214"/>
      <x:c r="K169" s="214"/>
      <x:c r="L169" s="214"/>
      <x:c r="M169" s="214"/>
      <x:c r="N169" s="214"/>
      <x:c r="O169" s="214"/>
      <x:c r="P169" s="214"/>
    </x:row>
    <x:row r="170">
      <x:c r="A170" s="214"/>
      <x:c r="B170" s="214"/>
      <x:c r="C170" s="214"/>
      <x:c r="D170" s="214"/>
      <x:c r="E170" s="214"/>
      <x:c r="F170" s="214"/>
      <x:c r="G170" s="214"/>
      <x:c r="H170" s="214"/>
      <x:c r="I170" s="214"/>
      <x:c r="J170" s="214"/>
      <x:c r="K170" s="214"/>
      <x:c r="L170" s="214"/>
      <x:c r="M170" s="214"/>
      <x:c r="N170" s="214"/>
      <x:c r="O170" s="214"/>
      <x:c r="P170" s="214"/>
    </x:row>
    <x:row r="171">
      <x:c r="A171" s="214"/>
      <x:c r="B171" s="214"/>
      <x:c r="C171" s="214"/>
      <x:c r="D171" s="214"/>
      <x:c r="E171" s="214"/>
      <x:c r="F171" s="214"/>
      <x:c r="G171" s="214"/>
      <x:c r="H171" s="214"/>
      <x:c r="I171" s="214"/>
      <x:c r="J171" s="214"/>
      <x:c r="K171" s="214"/>
      <x:c r="L171" s="214"/>
      <x:c r="M171" s="214"/>
      <x:c r="N171" s="214"/>
      <x:c r="O171" s="214"/>
      <x:c r="P171" s="214"/>
    </x:row>
    <x:row r="172">
      <x:c r="A172" s="214"/>
      <x:c r="B172" s="214"/>
      <x:c r="C172" s="214"/>
      <x:c r="D172" s="214"/>
      <x:c r="E172" s="214"/>
      <x:c r="F172" s="214"/>
      <x:c r="G172" s="214"/>
      <x:c r="H172" s="214"/>
      <x:c r="I172" s="214"/>
      <x:c r="J172" s="214"/>
      <x:c r="K172" s="214"/>
      <x:c r="L172" s="214"/>
      <x:c r="M172" s="214"/>
      <x:c r="N172" s="214"/>
      <x:c r="O172" s="214"/>
      <x:c r="P172" s="214"/>
    </x:row>
    <x:row r="173">
      <x:c r="A173" s="214"/>
      <x:c r="B173" s="214"/>
      <x:c r="C173" s="214"/>
      <x:c r="D173" s="214"/>
      <x:c r="E173" s="214"/>
      <x:c r="F173" s="214"/>
      <x:c r="G173" s="214"/>
      <x:c r="H173" s="214"/>
      <x:c r="I173" s="214"/>
      <x:c r="J173" s="214"/>
      <x:c r="K173" s="214"/>
      <x:c r="L173" s="214"/>
      <x:c r="M173" s="214"/>
      <x:c r="N173" s="214"/>
      <x:c r="O173" s="214"/>
      <x:c r="P173" s="214"/>
    </x:row>
    <x:row r="174">
      <x:c r="A174" s="214"/>
      <x:c r="B174" s="214"/>
      <x:c r="C174" s="214"/>
      <x:c r="D174" s="214"/>
      <x:c r="E174" s="214"/>
      <x:c r="F174" s="214"/>
      <x:c r="G174" s="214"/>
      <x:c r="H174" s="214"/>
      <x:c r="I174" s="214"/>
      <x:c r="J174" s="214"/>
      <x:c r="K174" s="214"/>
      <x:c r="L174" s="214"/>
      <x:c r="M174" s="214"/>
      <x:c r="N174" s="214"/>
      <x:c r="O174" s="214"/>
      <x:c r="P174" s="214"/>
    </x:row>
    <x:row r="175">
      <x:c r="A175" s="214"/>
      <x:c r="B175" s="214"/>
      <x:c r="C175" s="214"/>
      <x:c r="D175" s="214"/>
      <x:c r="E175" s="214"/>
      <x:c r="F175" s="214"/>
      <x:c r="G175" s="214"/>
      <x:c r="H175" s="214"/>
      <x:c r="I175" s="214"/>
      <x:c r="J175" s="214"/>
      <x:c r="K175" s="214"/>
      <x:c r="L175" s="214"/>
      <x:c r="M175" s="214"/>
      <x:c r="N175" s="214"/>
      <x:c r="O175" s="214"/>
      <x:c r="P175" s="214"/>
    </x:row>
    <x:row r="176">
      <x:c r="A176" s="214"/>
      <x:c r="B176" s="214"/>
      <x:c r="C176" s="214"/>
      <x:c r="D176" s="214"/>
      <x:c r="E176" s="214"/>
      <x:c r="F176" s="214"/>
      <x:c r="G176" s="214"/>
      <x:c r="H176" s="214"/>
      <x:c r="I176" s="214"/>
      <x:c r="J176" s="214"/>
      <x:c r="K176" s="214"/>
      <x:c r="L176" s="214"/>
      <x:c r="M176" s="214"/>
      <x:c r="N176" s="214"/>
      <x:c r="O176" s="214"/>
      <x:c r="P176" s="214"/>
    </x:row>
    <x:row r="177">
      <x:c r="A177" s="214"/>
      <x:c r="B177" s="214"/>
      <x:c r="C177" s="214"/>
      <x:c r="D177" s="214"/>
      <x:c r="E177" s="214"/>
      <x:c r="F177" s="214"/>
      <x:c r="G177" s="214"/>
      <x:c r="H177" s="214"/>
      <x:c r="I177" s="214"/>
      <x:c r="J177" s="214"/>
      <x:c r="K177" s="214"/>
      <x:c r="L177" s="214"/>
      <x:c r="M177" s="214"/>
      <x:c r="N177" s="214"/>
      <x:c r="O177" s="214"/>
      <x:c r="P177" s="214"/>
    </x:row>
    <x:row r="178">
      <x:c r="A178" s="214"/>
      <x:c r="B178" s="214"/>
      <x:c r="C178" s="214"/>
      <x:c r="D178" s="214"/>
      <x:c r="E178" s="214"/>
      <x:c r="F178" s="214"/>
      <x:c r="G178" s="214"/>
      <x:c r="H178" s="214"/>
      <x:c r="I178" s="214"/>
      <x:c r="J178" s="214"/>
      <x:c r="K178" s="214"/>
      <x:c r="L178" s="214"/>
      <x:c r="M178" s="214"/>
      <x:c r="N178" s="214"/>
      <x:c r="O178" s="214"/>
      <x:c r="P178" s="214"/>
    </x:row>
    <x:row r="179">
      <x:c r="A179" s="214"/>
      <x:c r="B179" s="214"/>
      <x:c r="C179" s="214"/>
      <x:c r="D179" s="214"/>
      <x:c r="E179" s="214"/>
      <x:c r="F179" s="214"/>
      <x:c r="G179" s="214"/>
      <x:c r="H179" s="214"/>
      <x:c r="I179" s="214"/>
      <x:c r="J179" s="214"/>
      <x:c r="K179" s="214"/>
      <x:c r="L179" s="214"/>
      <x:c r="M179" s="214"/>
      <x:c r="N179" s="214"/>
      <x:c r="O179" s="214"/>
      <x:c r="P179" s="214"/>
    </x:row>
    <x:row r="180">
      <x:c r="A180" s="214"/>
      <x:c r="B180" s="214"/>
      <x:c r="C180" s="214"/>
      <x:c r="D180" s="214"/>
      <x:c r="E180" s="214"/>
      <x:c r="F180" s="214"/>
      <x:c r="G180" s="214"/>
      <x:c r="H180" s="214"/>
      <x:c r="I180" s="214"/>
      <x:c r="J180" s="214"/>
      <x:c r="K180" s="214"/>
      <x:c r="L180" s="214"/>
      <x:c r="M180" s="214"/>
      <x:c r="N180" s="214"/>
      <x:c r="O180" s="214"/>
      <x:c r="P180" s="214"/>
    </x:row>
    <x:row r="181">
      <x:c r="A181" s="214"/>
      <x:c r="B181" s="214"/>
      <x:c r="C181" s="214"/>
      <x:c r="D181" s="214"/>
      <x:c r="E181" s="214"/>
      <x:c r="F181" s="214"/>
      <x:c r="G181" s="214"/>
      <x:c r="H181" s="214"/>
      <x:c r="I181" s="214"/>
      <x:c r="J181" s="214"/>
      <x:c r="K181" s="214"/>
      <x:c r="L181" s="214"/>
      <x:c r="M181" s="214"/>
      <x:c r="N181" s="214"/>
      <x:c r="O181" s="214"/>
      <x:c r="P181" s="214"/>
    </x:row>
    <x:row r="182">
      <x:c r="A182" s="214"/>
      <x:c r="B182" s="214"/>
      <x:c r="C182" s="214"/>
      <x:c r="D182" s="214"/>
      <x:c r="E182" s="214"/>
      <x:c r="F182" s="214"/>
      <x:c r="G182" s="214"/>
      <x:c r="H182" s="214"/>
      <x:c r="I182" s="214"/>
      <x:c r="J182" s="214"/>
      <x:c r="K182" s="214"/>
      <x:c r="L182" s="214"/>
      <x:c r="M182" s="214"/>
      <x:c r="N182" s="214"/>
      <x:c r="O182" s="214"/>
      <x:c r="P182" s="214"/>
    </x:row>
    <x:row r="183">
      <x:c r="A183" s="214"/>
      <x:c r="B183" s="214"/>
      <x:c r="C183" s="214"/>
      <x:c r="D183" s="214"/>
      <x:c r="E183" s="214"/>
      <x:c r="F183" s="214"/>
      <x:c r="G183" s="214"/>
      <x:c r="H183" s="214"/>
      <x:c r="I183" s="214"/>
      <x:c r="J183" s="214"/>
      <x:c r="K183" s="214"/>
      <x:c r="L183" s="214"/>
      <x:c r="M183" s="214"/>
      <x:c r="N183" s="214"/>
      <x:c r="O183" s="214"/>
      <x:c r="P183" s="214"/>
    </x:row>
    <x:row r="184">
      <x:c r="A184" s="214"/>
      <x:c r="B184" s="214"/>
      <x:c r="C184" s="214"/>
      <x:c r="D184" s="214"/>
      <x:c r="E184" s="214"/>
      <x:c r="F184" s="214"/>
      <x:c r="G184" s="214"/>
      <x:c r="H184" s="214"/>
      <x:c r="I184" s="214"/>
      <x:c r="J184" s="214"/>
      <x:c r="K184" s="214"/>
      <x:c r="L184" s="214"/>
      <x:c r="M184" s="214"/>
      <x:c r="N184" s="214"/>
      <x:c r="O184" s="214"/>
      <x:c r="P184" s="214"/>
    </x:row>
    <x:row r="185">
      <x:c r="A185" s="214"/>
      <x:c r="B185" s="214"/>
      <x:c r="C185" s="214"/>
      <x:c r="D185" s="214"/>
      <x:c r="E185" s="214"/>
      <x:c r="F185" s="214"/>
      <x:c r="G185" s="214"/>
      <x:c r="H185" s="214"/>
      <x:c r="I185" s="214"/>
      <x:c r="J185" s="214"/>
      <x:c r="K185" s="214"/>
      <x:c r="L185" s="214"/>
      <x:c r="M185" s="214"/>
      <x:c r="N185" s="214"/>
      <x:c r="O185" s="214"/>
      <x:c r="P185" s="214"/>
    </x:row>
    <x:row r="186">
      <x:c r="A186" s="214"/>
      <x:c r="B186" s="214"/>
      <x:c r="C186" s="214"/>
      <x:c r="D186" s="214"/>
      <x:c r="E186" s="214"/>
      <x:c r="F186" s="214"/>
      <x:c r="G186" s="214"/>
      <x:c r="H186" s="214"/>
      <x:c r="I186" s="214"/>
      <x:c r="J186" s="214"/>
      <x:c r="K186" s="214"/>
      <x:c r="L186" s="214"/>
      <x:c r="M186" s="214"/>
      <x:c r="N186" s="214"/>
      <x:c r="O186" s="214"/>
      <x:c r="P186" s="214"/>
    </x:row>
    <x:row r="187">
      <x:c r="A187" s="214"/>
      <x:c r="B187" s="214"/>
      <x:c r="C187" s="214"/>
      <x:c r="D187" s="214"/>
      <x:c r="E187" s="214"/>
      <x:c r="F187" s="214"/>
      <x:c r="G187" s="214"/>
      <x:c r="H187" s="214"/>
      <x:c r="I187" s="214"/>
      <x:c r="J187" s="214"/>
      <x:c r="K187" s="214"/>
      <x:c r="L187" s="214"/>
      <x:c r="M187" s="214"/>
      <x:c r="N187" s="214"/>
      <x:c r="O187" s="214"/>
      <x:c r="P187" s="214"/>
    </x:row>
    <x:row r="188">
      <x:c r="A188" s="214"/>
      <x:c r="B188" s="214"/>
      <x:c r="C188" s="214"/>
      <x:c r="D188" s="214"/>
      <x:c r="E188" s="214"/>
      <x:c r="F188" s="214"/>
      <x:c r="G188" s="214"/>
      <x:c r="H188" s="214"/>
      <x:c r="I188" s="214"/>
      <x:c r="J188" s="214"/>
      <x:c r="K188" s="214"/>
      <x:c r="L188" s="214"/>
      <x:c r="M188" s="214"/>
      <x:c r="N188" s="214"/>
      <x:c r="O188" s="214"/>
      <x:c r="P188" s="214"/>
    </x:row>
    <x:row r="189">
      <x:c r="A189" s="214"/>
      <x:c r="B189" s="214"/>
      <x:c r="C189" s="214"/>
      <x:c r="D189" s="214"/>
      <x:c r="E189" s="214"/>
      <x:c r="F189" s="214"/>
      <x:c r="G189" s="214"/>
      <x:c r="H189" s="214"/>
      <x:c r="I189" s="214"/>
      <x:c r="J189" s="214"/>
      <x:c r="K189" s="214"/>
      <x:c r="L189" s="214"/>
      <x:c r="M189" s="214"/>
      <x:c r="N189" s="214"/>
      <x:c r="O189" s="214"/>
      <x:c r="P189" s="214"/>
    </x:row>
    <x:row r="190">
      <x:c r="A190" s="214"/>
      <x:c r="B190" s="214"/>
      <x:c r="C190" s="214"/>
      <x:c r="D190" s="214"/>
      <x:c r="E190" s="214"/>
      <x:c r="F190" s="214"/>
      <x:c r="G190" s="214"/>
      <x:c r="H190" s="214"/>
      <x:c r="I190" s="214"/>
      <x:c r="J190" s="214"/>
      <x:c r="K190" s="214"/>
      <x:c r="L190" s="214"/>
      <x:c r="M190" s="214"/>
      <x:c r="N190" s="214"/>
      <x:c r="O190" s="214"/>
      <x:c r="P190" s="214"/>
    </x:row>
    <x:row r="191">
      <x:c r="A191" s="214"/>
      <x:c r="B191" s="214"/>
      <x:c r="C191" s="214"/>
      <x:c r="D191" s="214"/>
      <x:c r="E191" s="214"/>
      <x:c r="F191" s="214"/>
      <x:c r="G191" s="214"/>
      <x:c r="H191" s="214"/>
      <x:c r="I191" s="214"/>
      <x:c r="J191" s="214"/>
      <x:c r="K191" s="214"/>
      <x:c r="L191" s="214"/>
      <x:c r="M191" s="214"/>
      <x:c r="N191" s="214"/>
      <x:c r="O191" s="214"/>
      <x:c r="P191" s="214"/>
    </x:row>
    <x:row r="192">
      <x:c r="A192" s="214"/>
      <x:c r="B192" s="214"/>
      <x:c r="C192" s="214"/>
      <x:c r="D192" s="214"/>
      <x:c r="E192" s="214"/>
      <x:c r="F192" s="214"/>
      <x:c r="G192" s="214"/>
      <x:c r="H192" s="214"/>
      <x:c r="I192" s="214"/>
      <x:c r="J192" s="214"/>
      <x:c r="K192" s="214"/>
      <x:c r="L192" s="214"/>
      <x:c r="M192" s="214"/>
      <x:c r="N192" s="214"/>
      <x:c r="O192" s="214"/>
      <x:c r="P192" s="214"/>
    </x:row>
    <x:row r="193">
      <x:c r="A193" s="214"/>
      <x:c r="B193" s="214"/>
      <x:c r="C193" s="214"/>
      <x:c r="D193" s="214"/>
      <x:c r="E193" s="214"/>
      <x:c r="F193" s="214"/>
      <x:c r="G193" s="214"/>
      <x:c r="H193" s="214"/>
      <x:c r="I193" s="214"/>
      <x:c r="J193" s="214"/>
      <x:c r="K193" s="214"/>
      <x:c r="L193" s="214"/>
      <x:c r="M193" s="214"/>
      <x:c r="N193" s="214"/>
      <x:c r="O193" s="214"/>
      <x:c r="P193" s="214"/>
    </x:row>
    <x:row r="194">
      <x:c r="A194" s="214"/>
      <x:c r="B194" s="214"/>
      <x:c r="C194" s="214"/>
      <x:c r="D194" s="214"/>
      <x:c r="E194" s="214"/>
      <x:c r="F194" s="214"/>
      <x:c r="G194" s="214"/>
      <x:c r="H194" s="214"/>
      <x:c r="I194" s="214"/>
      <x:c r="J194" s="214"/>
      <x:c r="K194" s="214"/>
      <x:c r="L194" s="214"/>
      <x:c r="M194" s="214"/>
      <x:c r="N194" s="214"/>
      <x:c r="O194" s="214"/>
      <x:c r="P194" s="214"/>
    </x:row>
    <x:row r="195">
      <x:c r="A195" s="214"/>
      <x:c r="B195" s="214"/>
      <x:c r="C195" s="214"/>
      <x:c r="D195" s="214"/>
      <x:c r="E195" s="214"/>
      <x:c r="F195" s="214"/>
      <x:c r="G195" s="214"/>
      <x:c r="H195" s="214"/>
      <x:c r="I195" s="214"/>
      <x:c r="J195" s="214"/>
      <x:c r="K195" s="214"/>
      <x:c r="L195" s="214"/>
      <x:c r="M195" s="214"/>
      <x:c r="N195" s="214"/>
      <x:c r="O195" s="214"/>
      <x:c r="P195" s="214"/>
    </x:row>
    <x:row r="196">
      <x:c r="A196" s="214"/>
      <x:c r="B196" s="214"/>
      <x:c r="C196" s="214"/>
      <x:c r="D196" s="214"/>
      <x:c r="E196" s="214"/>
      <x:c r="F196" s="214"/>
      <x:c r="G196" s="214"/>
      <x:c r="H196" s="214"/>
      <x:c r="I196" s="214"/>
      <x:c r="J196" s="214"/>
      <x:c r="K196" s="214"/>
      <x:c r="L196" s="214"/>
      <x:c r="M196" s="214"/>
      <x:c r="N196" s="214"/>
      <x:c r="O196" s="214"/>
      <x:c r="P196" s="214"/>
    </x:row>
    <x:row r="197">
      <x:c r="A197" s="214"/>
      <x:c r="B197" s="214"/>
      <x:c r="C197" s="214"/>
      <x:c r="D197" s="214"/>
      <x:c r="E197" s="214"/>
      <x:c r="F197" s="214"/>
      <x:c r="G197" s="214"/>
      <x:c r="H197" s="214"/>
      <x:c r="I197" s="214"/>
      <x:c r="J197" s="214"/>
      <x:c r="K197" s="214"/>
      <x:c r="L197" s="214"/>
      <x:c r="M197" s="214"/>
      <x:c r="N197" s="214"/>
      <x:c r="O197" s="214"/>
      <x:c r="P197" s="214"/>
    </x:row>
    <x:row r="198">
      <x:c r="A198" s="214"/>
      <x:c r="B198" s="214"/>
      <x:c r="C198" s="214"/>
      <x:c r="D198" s="214"/>
      <x:c r="E198" s="214"/>
      <x:c r="F198" s="214"/>
      <x:c r="G198" s="214"/>
      <x:c r="H198" s="214"/>
      <x:c r="I198" s="214"/>
      <x:c r="J198" s="214"/>
      <x:c r="K198" s="214"/>
      <x:c r="L198" s="214"/>
      <x:c r="M198" s="214"/>
      <x:c r="N198" s="214"/>
      <x:c r="O198" s="214"/>
      <x:c r="P198" s="214"/>
    </x:row>
    <x:row r="199">
      <x:c r="A199" s="214"/>
      <x:c r="B199" s="214"/>
      <x:c r="C199" s="214"/>
      <x:c r="D199" s="214"/>
      <x:c r="E199" s="214"/>
      <x:c r="F199" s="214"/>
      <x:c r="G199" s="214"/>
      <x:c r="H199" s="214"/>
      <x:c r="I199" s="214"/>
      <x:c r="J199" s="214"/>
      <x:c r="K199" s="214"/>
      <x:c r="L199" s="214"/>
      <x:c r="M199" s="214"/>
      <x:c r="N199" s="214"/>
      <x:c r="O199" s="214"/>
      <x:c r="P199" s="214"/>
    </x:row>
    <x:row r="200">
      <x:c r="A200" s="214"/>
      <x:c r="B200" s="214"/>
      <x:c r="C200" s="214"/>
      <x:c r="D200" s="214"/>
      <x:c r="E200" s="214"/>
      <x:c r="F200" s="214"/>
      <x:c r="G200" s="214"/>
      <x:c r="H200" s="214"/>
      <x:c r="I200" s="214"/>
      <x:c r="J200" s="214"/>
      <x:c r="K200" s="214"/>
      <x:c r="L200" s="214"/>
      <x:c r="M200" s="214"/>
      <x:c r="N200" s="214"/>
      <x:c r="O200" s="214"/>
      <x:c r="P200" s="214"/>
    </x:row>
    <x:row r="201">
      <x:c r="A201" s="214"/>
      <x:c r="B201" s="214"/>
      <x:c r="C201" s="214"/>
      <x:c r="D201" s="214"/>
      <x:c r="E201" s="214"/>
      <x:c r="F201" s="214"/>
      <x:c r="G201" s="214"/>
      <x:c r="H201" s="214"/>
      <x:c r="I201" s="214"/>
      <x:c r="J201" s="214"/>
      <x:c r="K201" s="214"/>
      <x:c r="L201" s="214"/>
      <x:c r="M201" s="214"/>
      <x:c r="N201" s="214"/>
      <x:c r="O201" s="214"/>
      <x:c r="P201" s="214"/>
    </x:row>
    <x:row r="202">
      <x:c r="A202" s="214"/>
      <x:c r="B202" s="214"/>
      <x:c r="C202" s="214"/>
      <x:c r="D202" s="214"/>
      <x:c r="E202" s="214"/>
      <x:c r="F202" s="214"/>
      <x:c r="G202" s="214"/>
      <x:c r="H202" s="214"/>
      <x:c r="I202" s="214"/>
      <x:c r="J202" s="214"/>
      <x:c r="K202" s="214"/>
      <x:c r="L202" s="214"/>
      <x:c r="M202" s="214"/>
      <x:c r="N202" s="214"/>
      <x:c r="O202" s="214"/>
      <x:c r="P202" s="214"/>
    </x:row>
    <x:row r="203">
      <x:c r="A203" s="214"/>
      <x:c r="B203" s="214"/>
      <x:c r="C203" s="214"/>
      <x:c r="D203" s="214"/>
      <x:c r="E203" s="214"/>
      <x:c r="F203" s="214"/>
      <x:c r="G203" s="214"/>
      <x:c r="H203" s="214"/>
      <x:c r="I203" s="214"/>
      <x:c r="J203" s="214"/>
      <x:c r="K203" s="214"/>
      <x:c r="L203" s="214"/>
      <x:c r="M203" s="214"/>
      <x:c r="N203" s="214"/>
      <x:c r="O203" s="214"/>
      <x:c r="P203" s="214"/>
    </x:row>
    <x:row r="204">
      <x:c r="A204" s="214"/>
      <x:c r="B204" s="214"/>
      <x:c r="C204" s="214"/>
      <x:c r="D204" s="214"/>
      <x:c r="E204" s="214"/>
      <x:c r="F204" s="214"/>
      <x:c r="G204" s="214"/>
      <x:c r="H204" s="214"/>
      <x:c r="I204" s="214"/>
      <x:c r="J204" s="214"/>
      <x:c r="K204" s="214"/>
      <x:c r="L204" s="214"/>
      <x:c r="M204" s="214"/>
      <x:c r="N204" s="214"/>
      <x:c r="O204" s="214"/>
      <x:c r="P204" s="214"/>
    </x:row>
    <x:row r="205">
      <x:c r="A205" s="214"/>
      <x:c r="B205" s="214"/>
      <x:c r="C205" s="214"/>
      <x:c r="D205" s="214"/>
      <x:c r="E205" s="214"/>
      <x:c r="F205" s="214"/>
      <x:c r="G205" s="214"/>
      <x:c r="H205" s="214"/>
      <x:c r="I205" s="214"/>
      <x:c r="J205" s="214"/>
      <x:c r="K205" s="214"/>
      <x:c r="L205" s="214"/>
      <x:c r="M205" s="214"/>
      <x:c r="N205" s="214"/>
      <x:c r="O205" s="214"/>
      <x:c r="P205" s="214"/>
    </x:row>
    <x:row r="206">
      <x:c r="A206" s="214"/>
      <x:c r="B206" s="214"/>
      <x:c r="C206" s="214"/>
      <x:c r="D206" s="214"/>
      <x:c r="E206" s="214"/>
      <x:c r="F206" s="214"/>
      <x:c r="G206" s="214"/>
      <x:c r="H206" s="214"/>
      <x:c r="I206" s="214"/>
      <x:c r="J206" s="214"/>
      <x:c r="K206" s="214"/>
      <x:c r="L206" s="214"/>
      <x:c r="M206" s="214"/>
      <x:c r="N206" s="214"/>
      <x:c r="O206" s="214"/>
      <x:c r="P206" s="214"/>
    </x:row>
    <x:row r="207">
      <x:c r="A207" s="214"/>
      <x:c r="B207" s="214"/>
      <x:c r="C207" s="214"/>
      <x:c r="D207" s="214"/>
      <x:c r="E207" s="214"/>
      <x:c r="F207" s="214"/>
      <x:c r="G207" s="214"/>
      <x:c r="H207" s="214"/>
      <x:c r="I207" s="214"/>
      <x:c r="J207" s="214"/>
      <x:c r="K207" s="214"/>
      <x:c r="L207" s="214"/>
      <x:c r="M207" s="214"/>
      <x:c r="N207" s="214"/>
      <x:c r="O207" s="214"/>
      <x:c r="P207" s="214"/>
    </x:row>
    <x:row r="208">
      <x:c r="A208" s="214"/>
      <x:c r="B208" s="214"/>
      <x:c r="C208" s="214"/>
      <x:c r="D208" s="214"/>
      <x:c r="E208" s="214"/>
      <x:c r="F208" s="214"/>
      <x:c r="G208" s="214"/>
      <x:c r="H208" s="214"/>
      <x:c r="I208" s="214"/>
      <x:c r="J208" s="214"/>
      <x:c r="K208" s="214"/>
      <x:c r="L208" s="214"/>
      <x:c r="M208" s="214"/>
      <x:c r="N208" s="214"/>
      <x:c r="O208" s="214"/>
      <x:c r="P208" s="214"/>
    </x:row>
    <x:row r="209">
      <x:c r="A209" s="214"/>
      <x:c r="B209" s="214"/>
      <x:c r="C209" s="214"/>
      <x:c r="D209" s="214"/>
      <x:c r="E209" s="214"/>
      <x:c r="F209" s="214"/>
      <x:c r="G209" s="214"/>
      <x:c r="H209" s="214"/>
      <x:c r="I209" s="214"/>
      <x:c r="J209" s="214"/>
      <x:c r="K209" s="214"/>
      <x:c r="L209" s="214"/>
      <x:c r="M209" s="214"/>
      <x:c r="N209" s="214"/>
      <x:c r="O209" s="214"/>
      <x:c r="P209" s="214"/>
    </x:row>
    <x:row r="210">
      <x:c r="A210" s="214"/>
      <x:c r="B210" s="214"/>
      <x:c r="C210" s="214"/>
      <x:c r="D210" s="214"/>
      <x:c r="E210" s="214"/>
      <x:c r="F210" s="214"/>
      <x:c r="G210" s="214"/>
      <x:c r="H210" s="214"/>
      <x:c r="I210" s="214"/>
      <x:c r="J210" s="214"/>
      <x:c r="K210" s="214"/>
      <x:c r="L210" s="214"/>
      <x:c r="M210" s="214"/>
      <x:c r="N210" s="214"/>
      <x:c r="O210" s="214"/>
      <x:c r="P210" s="214"/>
    </x:row>
    <x:row r="211">
      <x:c r="A211" s="214"/>
      <x:c r="B211" s="214"/>
      <x:c r="C211" s="214"/>
      <x:c r="D211" s="214"/>
      <x:c r="E211" s="214"/>
      <x:c r="F211" s="214"/>
      <x:c r="G211" s="214"/>
      <x:c r="H211" s="214"/>
      <x:c r="I211" s="214"/>
      <x:c r="J211" s="214"/>
      <x:c r="K211" s="214"/>
      <x:c r="L211" s="214"/>
      <x:c r="M211" s="214"/>
      <x:c r="N211" s="214"/>
      <x:c r="O211" s="214"/>
      <x:c r="P211" s="214"/>
    </x:row>
    <x:row r="212">
      <x:c r="A212" s="214"/>
      <x:c r="B212" s="214"/>
      <x:c r="C212" s="214"/>
      <x:c r="D212" s="214"/>
      <x:c r="E212" s="214"/>
      <x:c r="F212" s="214"/>
      <x:c r="G212" s="214"/>
      <x:c r="H212" s="214"/>
      <x:c r="I212" s="214"/>
      <x:c r="J212" s="214"/>
      <x:c r="K212" s="214"/>
      <x:c r="L212" s="214"/>
      <x:c r="M212" s="214"/>
      <x:c r="N212" s="214"/>
      <x:c r="O212" s="214"/>
      <x:c r="P212" s="214"/>
    </x:row>
    <x:row r="213">
      <x:c r="A213" s="214"/>
      <x:c r="B213" s="214"/>
      <x:c r="C213" s="214"/>
      <x:c r="D213" s="214"/>
      <x:c r="E213" s="214"/>
      <x:c r="F213" s="214"/>
      <x:c r="G213" s="214"/>
      <x:c r="H213" s="214"/>
      <x:c r="I213" s="214"/>
      <x:c r="J213" s="214"/>
      <x:c r="K213" s="214"/>
      <x:c r="L213" s="214"/>
      <x:c r="M213" s="214"/>
      <x:c r="N213" s="214"/>
      <x:c r="O213" s="214"/>
      <x:c r="P213" s="214"/>
    </x:row>
    <x:row r="214">
      <x:c r="A214" s="214"/>
      <x:c r="B214" s="214"/>
      <x:c r="C214" s="214"/>
      <x:c r="D214" s="214"/>
      <x:c r="E214" s="214"/>
      <x:c r="F214" s="214"/>
      <x:c r="G214" s="214"/>
      <x:c r="H214" s="214"/>
      <x:c r="I214" s="214"/>
      <x:c r="J214" s="214"/>
      <x:c r="K214" s="214"/>
      <x:c r="L214" s="214"/>
      <x:c r="M214" s="214"/>
      <x:c r="N214" s="214"/>
      <x:c r="O214" s="214"/>
      <x:c r="P214" s="214"/>
    </x:row>
    <x:row r="215">
      <x:c r="A215" s="214"/>
      <x:c r="B215" s="214"/>
      <x:c r="C215" s="214"/>
      <x:c r="D215" s="214"/>
      <x:c r="E215" s="214"/>
      <x:c r="F215" s="214"/>
      <x:c r="G215" s="214"/>
      <x:c r="H215" s="214"/>
      <x:c r="I215" s="214"/>
      <x:c r="J215" s="214"/>
      <x:c r="K215" s="214"/>
      <x:c r="L215" s="214"/>
      <x:c r="M215" s="214"/>
      <x:c r="N215" s="214"/>
      <x:c r="O215" s="214"/>
      <x:c r="P215" s="214"/>
    </x:row>
    <x:row r="216">
      <x:c r="A216" s="214"/>
      <x:c r="B216" s="214"/>
      <x:c r="C216" s="214"/>
      <x:c r="D216" s="214"/>
      <x:c r="E216" s="214"/>
      <x:c r="F216" s="214"/>
      <x:c r="G216" s="214"/>
      <x:c r="H216" s="214"/>
      <x:c r="I216" s="214"/>
      <x:c r="J216" s="214"/>
      <x:c r="K216" s="214"/>
      <x:c r="L216" s="214"/>
      <x:c r="M216" s="214"/>
      <x:c r="N216" s="214"/>
      <x:c r="O216" s="214"/>
      <x:c r="P216" s="214"/>
    </x:row>
    <x:row r="217">
      <x:c r="A217" s="214"/>
      <x:c r="B217" s="214"/>
      <x:c r="C217" s="214"/>
      <x:c r="D217" s="214"/>
      <x:c r="E217" s="214"/>
      <x:c r="F217" s="214"/>
      <x:c r="G217" s="214"/>
      <x:c r="H217" s="214"/>
      <x:c r="I217" s="214"/>
      <x:c r="J217" s="214"/>
      <x:c r="K217" s="214"/>
      <x:c r="L217" s="214"/>
      <x:c r="M217" s="214"/>
      <x:c r="N217" s="214"/>
      <x:c r="O217" s="214"/>
      <x:c r="P217" s="214"/>
    </x:row>
    <x:row r="218">
      <x:c r="A218" s="214"/>
      <x:c r="B218" s="214"/>
      <x:c r="C218" s="214"/>
      <x:c r="D218" s="214"/>
      <x:c r="E218" s="214"/>
      <x:c r="F218" s="214"/>
      <x:c r="G218" s="214"/>
      <x:c r="H218" s="214"/>
      <x:c r="I218" s="214"/>
      <x:c r="J218" s="214"/>
      <x:c r="K218" s="214"/>
      <x:c r="L218" s="214"/>
      <x:c r="M218" s="214"/>
      <x:c r="N218" s="214"/>
      <x:c r="O218" s="214"/>
      <x:c r="P218" s="214"/>
    </x:row>
    <x:row r="219">
      <x:c r="A219" s="214"/>
      <x:c r="B219" s="214"/>
      <x:c r="C219" s="214"/>
      <x:c r="D219" s="214"/>
      <x:c r="E219" s="214"/>
      <x:c r="F219" s="214"/>
      <x:c r="G219" s="214"/>
      <x:c r="H219" s="214"/>
      <x:c r="I219" s="214"/>
      <x:c r="J219" s="214"/>
      <x:c r="K219" s="214"/>
      <x:c r="L219" s="214"/>
      <x:c r="M219" s="214"/>
      <x:c r="N219" s="214"/>
      <x:c r="O219" s="214"/>
      <x:c r="P219" s="214"/>
    </x:row>
    <x:row r="220">
      <x:c r="A220" s="214"/>
      <x:c r="B220" s="214"/>
      <x:c r="C220" s="214"/>
      <x:c r="D220" s="214"/>
      <x:c r="E220" s="214"/>
      <x:c r="F220" s="214"/>
      <x:c r="G220" s="214"/>
      <x:c r="H220" s="214"/>
      <x:c r="I220" s="214"/>
      <x:c r="J220" s="214"/>
      <x:c r="K220" s="214"/>
      <x:c r="L220" s="214"/>
      <x:c r="M220" s="214"/>
      <x:c r="N220" s="214"/>
      <x:c r="O220" s="214"/>
      <x:c r="P220" s="214"/>
    </x:row>
  </x:sheetData>
  <x:mergeCells>
    <x:mergeCell ref="A1:F2"/>
    <x:mergeCell ref="A3:F4"/>
    <x:mergeCell ref="A5:F6"/>
    <x:mergeCell ref="A16:F17"/>
    <x:mergeCell ref="A19:F20"/>
  </x:mergeCells>
  <x:hyperlinks>
    <x:hyperlink xmlns:r="http://schemas.openxmlformats.org/officeDocument/2006/relationships" ref="O9" r:id="Rb1409c35419b4ca0"/>
    <x:hyperlink xmlns:r="http://schemas.openxmlformats.org/officeDocument/2006/relationships" ref="P9" r:id="Rc598a5046e534fa5"/>
    <x:hyperlink xmlns:r="http://schemas.openxmlformats.org/officeDocument/2006/relationships" ref="O10" r:id="Ra30e2fe4419e439c"/>
    <x:hyperlink xmlns:r="http://schemas.openxmlformats.org/officeDocument/2006/relationships" ref="P10" r:id="R5a43605da0a646e2"/>
    <x:hyperlink xmlns:r="http://schemas.openxmlformats.org/officeDocument/2006/relationships" ref="O11" r:id="Rce40ef150c2d40d0"/>
    <x:hyperlink xmlns:r="http://schemas.openxmlformats.org/officeDocument/2006/relationships" ref="P11" r:id="Ra628b73adfcc44e3"/>
    <x:hyperlink xmlns:r="http://schemas.openxmlformats.org/officeDocument/2006/relationships" ref="O12" r:id="R12da4147cb9345c9"/>
    <x:hyperlink xmlns:r="http://schemas.openxmlformats.org/officeDocument/2006/relationships" ref="P12" r:id="R0a50e13e22594d50"/>
    <x:hyperlink xmlns:r="http://schemas.openxmlformats.org/officeDocument/2006/relationships" ref="O13" r:id="Rf70866086d1a440b"/>
    <x:hyperlink xmlns:r="http://schemas.openxmlformats.org/officeDocument/2006/relationships" ref="P13" r:id="R52bd29ce1d3742fb"/>
  </x:hyperlinks>
  <x:pageMargins left="0.7" right="0.7" top="0.75" bottom="0.75" header="0.3" footer="0.3"/>
  <x:tableParts count="1">
    <x:tablePart xmlns:r="http://schemas.openxmlformats.org/officeDocument/2006/relationships" r:id="Reda32eab2eb54911"/>
  </x:tableParts>
</x:worksheet>
</file>

<file path=xl/worksheets/sheet7.xml><?xml version="1.0" encoding="utf-8"?>
<x:worksheet xmlns:x="http://schemas.openxmlformats.org/spreadsheetml/2006/main">
  <x:sheetPr>
    <x:tabColor rgb="FF8B728F"/>
  </x:sheetPr>
  <x:sheetViews>
    <x:sheetView showGridLines="0" workbookViewId="0">
      <x:pane xSplit="2" ySplit="8" topLeftCell="C9" activePane="bottomRight" state="frozen"/>
    </x:sheetView>
  </x:sheetViews>
  <x:sheetFormatPr defaultRowHeight="15"/>
  <x:cols>
    <x:col min="1" max="1" width="10.5600004196167" hidden="0" customWidth="1"/>
    <x:col min="2" max="2" width="12.779999732971191" hidden="0" customWidth="1"/>
    <x:col min="3" max="3" width="38.88999938964844" hidden="0" customWidth="1"/>
    <x:col min="4" max="4" width="28.889999389648438" hidden="0" customWidth="1"/>
    <x:col min="5" max="5" width="41.11000061035156" hidden="0" customWidth="1"/>
    <x:col min="6" max="6" width="34.439998626708984" hidden="0" customWidth="1"/>
    <x:col min="7" max="7" width="12.220000267028809" hidden="0" customWidth="1"/>
    <x:col min="8" max="8" width="38.88999938964844" hidden="0" customWidth="1"/>
  </x:cols>
  <x:sheetData>
    <x:row r="1">
      <x:c r="A1" s="2335" t="str">
        <x:v>Population-scope exclusions</x:v>
      </x:c>
      <x:c r="B1" s="2335" t="str">
        <x:v>Population-scope exclusions</x:v>
      </x:c>
      <x:c r="C1" s="2335" t="str">
        <x:v>Population-scope exclusions</x:v>
      </x:c>
      <x:c r="D1" s="2335" t="str">
        <x:v>Population-scope exclusions</x:v>
      </x:c>
      <x:c r="E1" s="2335" t="str">
        <x:v>Population-scope exclusions</x:v>
      </x:c>
      <x:c r="F1" s="2335" t="str">
        <x:v>Population-scope exclusions</x:v>
      </x:c>
      <x:c r="G1" s="2292"/>
      <x:c r="H1" s="2292"/>
    </x:row>
    <x:row r="2">
      <x:c r="A2" s="2335" t="str">
        <x:v>Population-scope exclusions</x:v>
      </x:c>
      <x:c r="B2" s="2335" t="str">
        <x:v>Population-scope exclusions</x:v>
      </x:c>
      <x:c r="C2" s="2335" t="str">
        <x:v>Population-scope exclusions</x:v>
      </x:c>
      <x:c r="D2" s="2335" t="str">
        <x:v>Population-scope exclusions</x:v>
      </x:c>
      <x:c r="E2" s="2335" t="str">
        <x:v>Population-scope exclusions</x:v>
      </x:c>
      <x:c r="F2" s="2335" t="str">
        <x:v>Population-scope exclusions</x:v>
      </x:c>
      <x:c r="G2" s="2292"/>
      <x:c r="H2" s="2292"/>
    </x:row>
    <x:row r="3">
      <x:c r="A3" s="2309" t="str">
        <x:v>These records are outside the current population scope. Their removal is not a finding about study quality, treatment value or Medicare coverage. Original extractions are retained in the research archive.</x:v>
      </x:c>
      <x:c r="B3" s="2309" t="str">
        <x:v>These records are outside the current population scope. Their removal is not a finding about study quality, treatment value or Medicare coverage. Original extractions are retained in the research archive.</x:v>
      </x:c>
      <x:c r="C3" s="2309" t="str">
        <x:v>These records are outside the current population scope. Their removal is not a finding about study quality, treatment value or Medicare coverage. Original extractions are retained in the research archive.</x:v>
      </x:c>
      <x:c r="D3" s="2309" t="str">
        <x:v>These records are outside the current population scope. Their removal is not a finding about study quality, treatment value or Medicare coverage. Original extractions are retained in the research archive.</x:v>
      </x:c>
      <x:c r="E3" s="2309" t="str">
        <x:v>These records are outside the current population scope. Their removal is not a finding about study quality, treatment value or Medicare coverage. Original extractions are retained in the research archive.</x:v>
      </x:c>
      <x:c r="F3" s="2309" t="str">
        <x:v>These records are outside the current population scope. Their removal is not a finding about study quality, treatment value or Medicare coverage. Original extractions are retained in the research archive.</x:v>
      </x:c>
      <x:c r="G3" s="2292"/>
      <x:c r="H3" s="2292"/>
    </x:row>
    <x:row r="4">
      <x:c r="A4" s="2309" t="str">
        <x:v>These records are outside the current population scope. Their removal is not a finding about study quality, treatment value or Medicare coverage. Original extractions are retained in the research archive.</x:v>
      </x:c>
      <x:c r="B4" s="2309" t="str">
        <x:v>These records are outside the current population scope. Their removal is not a finding about study quality, treatment value or Medicare coverage. Original extractions are retained in the research archive.</x:v>
      </x:c>
      <x:c r="C4" s="2309" t="str">
        <x:v>These records are outside the current population scope. Their removal is not a finding about study quality, treatment value or Medicare coverage. Original extractions are retained in the research archive.</x:v>
      </x:c>
      <x:c r="D4" s="2309" t="str">
        <x:v>These records are outside the current population scope. Their removal is not a finding about study quality, treatment value or Medicare coverage. Original extractions are retained in the research archive.</x:v>
      </x:c>
      <x:c r="E4" s="2309" t="str">
        <x:v>These records are outside the current population scope. Their removal is not a finding about study quality, treatment value or Medicare coverage. Original extractions are retained in the research archive.</x:v>
      </x:c>
      <x:c r="F4" s="2309" t="str">
        <x:v>These records are outside the current population scope. Their removal is not a finding about study quality, treatment value or Medicare coverage. Original extractions are retained in the research archive.</x:v>
      </x:c>
      <x:c r="G4" s="2292"/>
      <x:c r="H4" s="2292"/>
    </x:row>
    <x:row r="5">
      <x:c r="A5" s="2309" t="str">
        <x:v>For mixed cohorts, retain only separately extractable eligible results. Studies reporting sex but not gender identity require full-text screening. Counts below describe this scope amendment only.</x:v>
      </x:c>
      <x:c r="B5" s="2309" t="str">
        <x:v>For mixed cohorts, retain only separately extractable eligible results. Studies reporting sex but not gender identity require full-text screening. Counts below describe this scope amendment only.</x:v>
      </x:c>
      <x:c r="C5" s="2309" t="str">
        <x:v>For mixed cohorts, retain only separately extractable eligible results. Studies reporting sex but not gender identity require full-text screening. Counts below describe this scope amendment only.</x:v>
      </x:c>
      <x:c r="D5" s="2309" t="str">
        <x:v>For mixed cohorts, retain only separately extractable eligible results. Studies reporting sex but not gender identity require full-text screening. Counts below describe this scope amendment only.</x:v>
      </x:c>
      <x:c r="E5" s="2309" t="str">
        <x:v>For mixed cohorts, retain only separately extractable eligible results. Studies reporting sex but not gender identity require full-text screening. Counts below describe this scope amendment only.</x:v>
      </x:c>
      <x:c r="F5" s="2309" t="str">
        <x:v>For mixed cohorts, retain only separately extractable eligible results. Studies reporting sex but not gender identity require full-text screening. Counts below describe this scope amendment only.</x:v>
      </x:c>
      <x:c r="G5" s="2292"/>
      <x:c r="H5" s="2292"/>
    </x:row>
    <x:row r="6">
      <x:c r="A6" s="2309" t="str">
        <x:v>For mixed cohorts, retain only separately extractable eligible results. Studies reporting sex but not gender identity require full-text screening. Counts below describe this scope amendment only.</x:v>
      </x:c>
      <x:c r="B6" s="2309" t="str">
        <x:v>For mixed cohorts, retain only separately extractable eligible results. Studies reporting sex but not gender identity require full-text screening. Counts below describe this scope amendment only.</x:v>
      </x:c>
      <x:c r="C6" s="2309" t="str">
        <x:v>For mixed cohorts, retain only separately extractable eligible results. Studies reporting sex but not gender identity require full-text screening. Counts below describe this scope amendment only.</x:v>
      </x:c>
      <x:c r="D6" s="2309" t="str">
        <x:v>For mixed cohorts, retain only separately extractable eligible results. Studies reporting sex but not gender identity require full-text screening. Counts below describe this scope amendment only.</x:v>
      </x:c>
      <x:c r="E6" s="2309" t="str">
        <x:v>For mixed cohorts, retain only separately extractable eligible results. Studies reporting sex but not gender identity require full-text screening. Counts below describe this scope amendment only.</x:v>
      </x:c>
      <x:c r="F6" s="2309" t="str">
        <x:v>For mixed cohorts, retain only separately extractable eligible results. Studies reporting sex but not gender identity require full-text screening. Counts below describe this scope amendment only.</x:v>
      </x:c>
      <x:c r="G6" s="2292"/>
      <x:c r="H6" s="2292"/>
    </x:row>
    <x:row r="7">
      <x:c r="A7" s="2292"/>
      <x:c r="B7" s="2292"/>
      <x:c r="C7" s="2292"/>
      <x:c r="D7" s="2292"/>
      <x:c r="E7" s="2292"/>
      <x:c r="F7" s="2292"/>
      <x:c r="G7" s="2292"/>
      <x:c r="H7" s="2292"/>
    </x:row>
    <x:row r="8" ht="36" customHeight="1">
      <x:c r="A8" s="2291" t="str">
        <x:v>Record ID</x:v>
      </x:c>
      <x:c r="B8" s="2291" t="str">
        <x:v>Record type</x:v>
      </x:c>
      <x:c r="C8" s="2291" t="str">
        <x:v>Item / citation</x:v>
      </x:c>
      <x:c r="D8" s="2291" t="str">
        <x:v>Decision</x:v>
      </x:c>
      <x:c r="E8" s="2291" t="str">
        <x:v>Exclusion reason</x:v>
      </x:c>
      <x:c r="F8" s="2291" t="str">
        <x:v>Interpretation / subgroup note</x:v>
      </x:c>
      <x:c r="G8" s="2291" t="str">
        <x:v>Decision date</x:v>
      </x:c>
      <x:c r="H8" s="2291" t="str">
        <x:v>Source URL</x:v>
      </x:c>
    </x:row>
    <x:row r="9" ht="108.75" customHeight="1">
      <x:c r="A9" s="2292" t="str">
        <x:v>G01</x:v>
      </x:c>
      <x:c r="B9" s="2292" t="str">
        <x:v>Care item</x:v>
      </x:c>
      <x:c r="C9" s="2292" t="str">
        <x:v>Gender-affirming surgery</x:v>
      </x:c>
      <x:c r="D9" s="2292" t="str">
        <x:v>Outside active care inventory</x:v>
      </x:c>
      <x:c r="E9" s="2292" t="str">
        <x:v>Gender-affirming-care indication or transgender-focused population.</x:v>
      </x:c>
      <x:c r="F9" s="2292" t="str">
        <x:v>Keep source record for audit; exclude from current synthesis.</x:v>
      </x:c>
      <x:c r="G9" s="2293" t="n">
        <x:v>46281.5</x:v>
      </x:c>
      <x:c r="H9" s="2295" t="str">
        <x:v>https://www.cms.gov/medicare-coverage-database/view/ncd.aspx?ncdid=368&amp;ncdver=1</x:v>
      </x:c>
    </x:row>
    <x:row r="10" ht="108.75" customHeight="1">
      <x:c r="A10" s="2298" t="str">
        <x:v>G02</x:v>
      </x:c>
      <x:c r="B10" s="2298" t="str">
        <x:v>Care item</x:v>
      </x:c>
      <x:c r="C10" s="2298" t="str">
        <x:v>Outpatient gender-affirming hormones</x:v>
      </x:c>
      <x:c r="D10" s="2298" t="str">
        <x:v>Outside active care inventory</x:v>
      </x:c>
      <x:c r="E10" s="2298" t="str">
        <x:v>Gender-affirming-care indication or transgender-focused population.</x:v>
      </x:c>
      <x:c r="F10" s="2298" t="str">
        <x:v>Keep source record for audit; exclude from current synthesis.</x:v>
      </x:c>
      <x:c r="G10" s="2299" t="n">
        <x:v>46281.5</x:v>
      </x:c>
      <x:c r="H10" s="2301" t="str">
        <x:v>https://www.medicare.gov/coverage/prescription-drugs-outpatient</x:v>
      </x:c>
    </x:row>
    <x:row r="11" ht="108.75" customHeight="1">
      <x:c r="A11" s="2292" t="str">
        <x:v>G03</x:v>
      </x:c>
      <x:c r="B11" s="2292" t="str">
        <x:v>Care item</x:v>
      </x:c>
      <x:c r="C11" s="2292" t="str">
        <x:v>Anatomy-appropriate services when recorded sex conflicts</x:v>
      </x:c>
      <x:c r="D11" s="2292" t="str">
        <x:v>Outside active care inventory</x:v>
      </x:c>
      <x:c r="E11" s="2292" t="str">
        <x:v>Current sex-marker comparison is linked to transgender-focused evidence; no separate eligible comparison extracted.</x:v>
      </x:c>
      <x:c r="F11" s="2292" t="str">
        <x:v>Combined transgender/intersex row removed in its present form. Intersex status alone is not a population exclusion.</x:v>
      </x:c>
      <x:c r="G11" s="2293" t="n">
        <x:v>46281.5</x:v>
      </x:c>
      <x:c r="H11" s="2295" t="str">
        <x:v>https://www.cms.gov/Regulations-and-Guidance/Guidance/Manuals/downloads/clm104c32.pdf</x:v>
      </x:c>
    </x:row>
    <x:row r="12" ht="108.75" customHeight="1">
      <x:c r="A12" s="2298" t="str">
        <x:v>L-G01</x:v>
      </x:c>
      <x:c r="B12" s="2298" t="str">
        <x:v>Study</x:v>
      </x:c>
      <x:c r="C12" s="2298" t="str">
        <x:v>Proctor K, et al. Identifying the Transgender Population in the Medicare Program. Transgend Health. 2016;1(1):250-265.</x:v>
      </x:c>
      <x:c r="D12" s="2298" t="str">
        <x:v>Outside current synthesis</x:v>
      </x:c>
      <x:c r="E12" s="2298" t="str">
        <x:v>Extracted population, comparison or care indication focuses on transgender or gender-diverse patients.</x:v>
      </x:c>
      <x:c r="F12" s="2298" t="str">
        <x:v>No eligible standalone cisgender subgroup result has been extracted for this review. Preserve citation and scope reason.</x:v>
      </x:c>
      <x:c r="G12" s="2299" t="n">
        <x:v>46281.5</x:v>
      </x:c>
      <x:c r="H12" s="2301" t="str">
        <x:v>https://pmc.ncbi.nlm.nih.gov/articles/PMC5367475/</x:v>
      </x:c>
    </x:row>
    <x:row r="13" ht="108.75" customHeight="1">
      <x:c r="A13" s="2292" t="str">
        <x:v>L-G02</x:v>
      </x:c>
      <x:c r="B13" s="2292" t="str">
        <x:v>Study</x:v>
      </x:c>
      <x:c r="C13" s="2292" t="str">
        <x:v>Almazan AN, et al. Association Between Gender-Affirming Surgeries and Mental Health Outcomes. JAMA Surg. 2021;156(7):611-618.</x:v>
      </x:c>
      <x:c r="D13" s="2292" t="str">
        <x:v>Outside current synthesis</x:v>
      </x:c>
      <x:c r="E13" s="2292" t="str">
        <x:v>Extracted population, comparison or care indication focuses on transgender or gender-diverse patients.</x:v>
      </x:c>
      <x:c r="F13" s="2292" t="str">
        <x:v>No eligible standalone cisgender subgroup result has been extracted for this review. Preserve citation and scope reason.</x:v>
      </x:c>
      <x:c r="G13" s="2293" t="n">
        <x:v>46281.5</x:v>
      </x:c>
      <x:c r="H13" s="2295" t="str">
        <x:v>https://pmc.ncbi.nlm.nih.gov/articles/PMC8082431/</x:v>
      </x:c>
    </x:row>
    <x:row r="14" ht="108.75" customHeight="1">
      <x:c r="A14" s="2298" t="str">
        <x:v>L-G03</x:v>
      </x:c>
      <x:c r="B14" s="2298" t="str">
        <x:v>Study</x:v>
      </x:c>
      <x:c r="C14" s="2298" t="str">
        <x:v>Baker KE, et al. Hormone Therapy, Mental Health, and Quality of Life Among Transgender People: A Systematic Review. J Endocr Soc. 2021;5(4):bvab011.</x:v>
      </x:c>
      <x:c r="D14" s="2298" t="str">
        <x:v>Outside current synthesis</x:v>
      </x:c>
      <x:c r="E14" s="2298" t="str">
        <x:v>Extracted population, comparison or care indication focuses on transgender or gender-diverse patients.</x:v>
      </x:c>
      <x:c r="F14" s="2298" t="str">
        <x:v>No eligible standalone cisgender subgroup result has been extracted for this review. Preserve citation and scope reason.</x:v>
      </x:c>
      <x:c r="G14" s="2299" t="n">
        <x:v>46281.5</x:v>
      </x:c>
      <x:c r="H14" s="2301" t="str">
        <x:v>https://pubmed.ncbi.nlm.nih.gov/33644622/</x:v>
      </x:c>
    </x:row>
    <x:row r="15" ht="108.75" customHeight="1">
      <x:c r="A15" s="2292" t="str">
        <x:v>L-G06</x:v>
      </x:c>
      <x:c r="B15" s="2292" t="str">
        <x:v>Study</x:v>
      </x:c>
      <x:c r="C15" s="2292" t="str">
        <x:v>Chokshi M, et al. Disparities in Study Inclusion and Breast Cancer Screening Rates Among Transgender People: A Systematic Review. J Am Coll Radiol. 2024;21(9):1430-1443.</x:v>
      </x:c>
      <x:c r="D15" s="2292" t="str">
        <x:v>Outside current synthesis</x:v>
      </x:c>
      <x:c r="E15" s="2292" t="str">
        <x:v>Extracted population, comparison or care indication focuses on transgender or gender-diverse patients.</x:v>
      </x:c>
      <x:c r="F15" s="2292" t="str">
        <x:v>No eligible standalone cisgender subgroup result has been extracted for this review. Preserve citation and scope reason.</x:v>
      </x:c>
      <x:c r="G15" s="2293" t="n">
        <x:v>46281.5</x:v>
      </x:c>
      <x:c r="H15" s="2295" t="str">
        <x:v>https://pubmed.ncbi.nlm.nih.gov/38663835/</x:v>
      </x:c>
    </x:row>
    <x:row r="16" ht="108.75" customHeight="1">
      <x:c r="A16" s="2298" t="str">
        <x:v>L-G07</x:v>
      </x:c>
      <x:c r="B16" s="2298" t="str">
        <x:v>Study</x:v>
      </x:c>
      <x:c r="C16" s="2298" t="str">
        <x:v>Kalavacherla S, et al. Prostate Cancer Screening Uptake in Transgender Women. JAMA Netw Open. 2024;7(2):e2356088.</x:v>
      </x:c>
      <x:c r="D16" s="2298" t="str">
        <x:v>Outside current synthesis</x:v>
      </x:c>
      <x:c r="E16" s="2298" t="str">
        <x:v>Extracted population, comparison or care indication focuses on transgender or gender-diverse patients.</x:v>
      </x:c>
      <x:c r="F16" s="2298" t="str">
        <x:v>No eligible standalone cisgender subgroup result has been extracted for this review. Preserve citation and scope reason.</x:v>
      </x:c>
      <x:c r="G16" s="2299" t="n">
        <x:v>46281.5</x:v>
      </x:c>
      <x:c r="H16" s="2301" t="str">
        <x:v>https://pubmed.ncbi.nlm.nih.gov/38353948/</x:v>
      </x:c>
    </x:row>
    <x:row r="17" ht="108.75" customHeight="1">
      <x:c r="A17" s="2292" t="str">
        <x:v>L-G08</x:v>
      </x:c>
      <x:c r="B17" s="2292" t="str">
        <x:v>Study</x:v>
      </x:c>
      <x:c r="C17" s="2292" t="str">
        <x:v>Peitzmeier SM, et al. Pap test use is lower among female-to-male patients than non-transgender women. Am J Prev Med. 2014;47(6):808-812.</x:v>
      </x:c>
      <x:c r="D17" s="2292" t="str">
        <x:v>Outside current synthesis</x:v>
      </x:c>
      <x:c r="E17" s="2292" t="str">
        <x:v>Extracted population, comparison or care indication focuses on transgender or gender-diverse patients.</x:v>
      </x:c>
      <x:c r="F17" s="2292" t="str">
        <x:v>No eligible standalone cisgender subgroup result has been extracted for this review. Preserve citation and scope reason.</x:v>
      </x:c>
      <x:c r="G17" s="2293" t="n">
        <x:v>46281.5</x:v>
      </x:c>
      <x:c r="H17" s="2295" t="str">
        <x:v>https://pubmed.ncbi.nlm.nih.gov/25455121/</x:v>
      </x:c>
    </x:row>
    <x:row r="18" ht="108.75" customHeight="1">
      <x:c r="A18" s="2298" t="str">
        <x:v>L-G11</x:v>
      </x:c>
      <x:c r="B18" s="2298" t="str">
        <x:v>Study</x:v>
      </x:c>
      <x:c r="C18" s="2298" t="str">
        <x:v>Bakko M, et al. Transgender-Related Insurance Denials as Barriers to Transgender Healthcare: Differences in Experience by Insurance Type. J Gen Intern Med. 2020;35(6):1693-1700.</x:v>
      </x:c>
      <x:c r="D18" s="2298" t="str">
        <x:v>Outside current synthesis</x:v>
      </x:c>
      <x:c r="E18" s="2298" t="str">
        <x:v>Extracted population, comparison or care indication focuses on transgender or gender-diverse patients.</x:v>
      </x:c>
      <x:c r="F18" s="2298" t="str">
        <x:v>No eligible standalone cisgender subgroup result has been extracted for this review. Preserve citation and scope reason.</x:v>
      </x:c>
      <x:c r="G18" s="2299" t="n">
        <x:v>46281.5</x:v>
      </x:c>
      <x:c r="H18" s="2301" t="str">
        <x:v>https://pmc.ncbi.nlm.nih.gov/articles/PMC7280420/</x:v>
      </x:c>
    </x:row>
    <x:row r="19" ht="108.75" customHeight="1">
      <x:c r="A19" s="2292" t="str">
        <x:v>L-G12</x:v>
      </x:c>
      <x:c r="B19" s="2292" t="str">
        <x:v>Study</x:v>
      </x:c>
      <x:c r="C19" s="2292" t="str">
        <x:v>Balkan E, et al. Gender-Affirming Surgery for Transgender and Gender Diverse Medicare Beneficiaries. JAMA Netw Open. 2025;8(5):e258072.</x:v>
      </x:c>
      <x:c r="D19" s="2292" t="str">
        <x:v>Outside current synthesis</x:v>
      </x:c>
      <x:c r="E19" s="2292" t="str">
        <x:v>Extracted population, comparison or care indication focuses on transgender or gender-diverse patients.</x:v>
      </x:c>
      <x:c r="F19" s="2292" t="str">
        <x:v>No eligible standalone cisgender subgroup result has been extracted for this review. Preserve citation and scope reason.</x:v>
      </x:c>
      <x:c r="G19" s="2293" t="n">
        <x:v>46281.5</x:v>
      </x:c>
      <x:c r="H19" s="2295" t="str">
        <x:v>https://pmc.ncbi.nlm.nih.gov/articles/PMC12046427/</x:v>
      </x:c>
    </x:row>
    <x:row r="20">
      <x:c r="A20" s="2292"/>
      <x:c r="B20" s="2292"/>
      <x:c r="C20" s="2292"/>
      <x:c r="D20" s="2292"/>
      <x:c r="E20" s="2292"/>
      <x:c r="F20" s="2292"/>
      <x:c r="G20" s="2292"/>
      <x:c r="H20" s="2292"/>
    </x:row>
    <x:row r="21">
      <x:c r="A21" s="2292"/>
      <x:c r="B21" s="2292"/>
      <x:c r="C21" s="2292"/>
      <x:c r="D21" s="2292"/>
      <x:c r="E21" s="2292"/>
      <x:c r="F21" s="2292"/>
      <x:c r="G21" s="2292"/>
      <x:c r="H21" s="2292"/>
    </x:row>
    <x:row r="22">
      <x:c r="A22" s="2292"/>
      <x:c r="B22" s="2292"/>
      <x:c r="C22" s="2292"/>
      <x:c r="D22" s="2292"/>
      <x:c r="E22" s="2292"/>
      <x:c r="F22" s="2292"/>
      <x:c r="G22" s="2292"/>
      <x:c r="H22" s="2292"/>
    </x:row>
    <x:row r="23">
      <x:c r="A23" s="2292"/>
      <x:c r="B23" s="2292"/>
      <x:c r="C23" s="2292"/>
      <x:c r="D23" s="2292"/>
      <x:c r="E23" s="2292"/>
      <x:c r="F23" s="2292"/>
      <x:c r="G23" s="2292"/>
      <x:c r="H23" s="2292"/>
    </x:row>
    <x:row r="24">
      <x:c r="A24" s="2292"/>
      <x:c r="B24" s="2292"/>
      <x:c r="C24" s="2292"/>
      <x:c r="D24" s="2292"/>
      <x:c r="E24" s="2292"/>
      <x:c r="F24" s="2292"/>
      <x:c r="G24" s="2292"/>
      <x:c r="H24" s="2292"/>
    </x:row>
    <x:row r="25">
      <x:c r="A25" s="2292"/>
      <x:c r="B25" s="2292"/>
      <x:c r="C25" s="2292"/>
      <x:c r="D25" s="2292"/>
      <x:c r="E25" s="2292"/>
      <x:c r="F25" s="2292"/>
      <x:c r="G25" s="2292"/>
      <x:c r="H25" s="2292"/>
    </x:row>
    <x:row r="26">
      <x:c r="A26" s="2292"/>
      <x:c r="B26" s="2292"/>
      <x:c r="C26" s="2292"/>
      <x:c r="D26" s="2292"/>
      <x:c r="E26" s="2292"/>
      <x:c r="F26" s="2292"/>
      <x:c r="G26" s="2292"/>
      <x:c r="H26" s="2292"/>
    </x:row>
    <x:row r="27">
      <x:c r="A27" s="2292"/>
      <x:c r="B27" s="2292"/>
      <x:c r="C27" s="2292"/>
      <x:c r="D27" s="2292"/>
      <x:c r="E27" s="2292"/>
      <x:c r="F27" s="2292"/>
      <x:c r="G27" s="2292"/>
      <x:c r="H27" s="2292"/>
    </x:row>
    <x:row r="28">
      <x:c r="A28" s="2292"/>
      <x:c r="B28" s="2292"/>
      <x:c r="C28" s="2292"/>
      <x:c r="D28" s="2292"/>
      <x:c r="E28" s="2292"/>
      <x:c r="F28" s="2292"/>
      <x:c r="G28" s="2292"/>
      <x:c r="H28" s="2292"/>
    </x:row>
    <x:row r="29">
      <x:c r="A29" s="2292"/>
      <x:c r="B29" s="2292"/>
      <x:c r="C29" s="2292"/>
      <x:c r="D29" s="2292"/>
      <x:c r="E29" s="2292"/>
      <x:c r="F29" s="2292"/>
      <x:c r="G29" s="2292"/>
      <x:c r="H29" s="2292"/>
    </x:row>
    <x:row r="30">
      <x:c r="A30" s="2292"/>
      <x:c r="B30" s="2292"/>
      <x:c r="C30" s="2292"/>
      <x:c r="D30" s="2292"/>
      <x:c r="E30" s="2292"/>
      <x:c r="F30" s="2292"/>
      <x:c r="G30" s="2292"/>
      <x:c r="H30" s="2292"/>
    </x:row>
  </x:sheetData>
  <x:mergeCells>
    <x:mergeCell ref="A1:F2"/>
    <x:mergeCell ref="A3:F4"/>
    <x:mergeCell ref="A5:F6"/>
  </x:mergeCells>
  <x:hyperlinks>
    <x:hyperlink xmlns:r="http://schemas.openxmlformats.org/officeDocument/2006/relationships" ref="H9" r:id="R1f6e62426cb84bc0"/>
    <x:hyperlink xmlns:r="http://schemas.openxmlformats.org/officeDocument/2006/relationships" ref="H10" r:id="Ra56c766264174a2d"/>
    <x:hyperlink xmlns:r="http://schemas.openxmlformats.org/officeDocument/2006/relationships" ref="H11" r:id="Ra0447f4147a249f4"/>
    <x:hyperlink xmlns:r="http://schemas.openxmlformats.org/officeDocument/2006/relationships" ref="H12" r:id="Rdff6f838b3554737"/>
    <x:hyperlink xmlns:r="http://schemas.openxmlformats.org/officeDocument/2006/relationships" ref="H13" r:id="Re4d8ce74c6dc4347"/>
    <x:hyperlink xmlns:r="http://schemas.openxmlformats.org/officeDocument/2006/relationships" ref="H14" r:id="Rdb326909a4424442"/>
    <x:hyperlink xmlns:r="http://schemas.openxmlformats.org/officeDocument/2006/relationships" ref="H15" r:id="Rf39d2576cc3e4eff"/>
    <x:hyperlink xmlns:r="http://schemas.openxmlformats.org/officeDocument/2006/relationships" ref="H16" r:id="R8aa40af3f42546a6"/>
    <x:hyperlink xmlns:r="http://schemas.openxmlformats.org/officeDocument/2006/relationships" ref="H17" r:id="R7206885092114d5b"/>
    <x:hyperlink xmlns:r="http://schemas.openxmlformats.org/officeDocument/2006/relationships" ref="H18" r:id="R5f8ee9a213fd4270"/>
    <x:hyperlink xmlns:r="http://schemas.openxmlformats.org/officeDocument/2006/relationships" ref="H19" r:id="R8aa6be6fa0fb4be2"/>
  </x:hyperlinks>
  <x:pageMargins left="0.7" right="0.7" top="0.75" bottom="0.75" header="0.3" footer="0.3"/>
  <x:tableParts count="1">
    <x:tablePart xmlns:r="http://schemas.openxmlformats.org/officeDocument/2006/relationships" r:id="R6816e24807ae4279"/>
  </x:tableParts>
</x:worksheet>
</file>

<file path=xl/worksheets/sheet8.xml><?xml version="1.0" encoding="utf-8"?>
<x:worksheet xmlns:x="http://schemas.openxmlformats.org/spreadsheetml/2006/main">
  <x:sheetPr>
    <x:tabColor rgb="FF19354D"/>
  </x:sheetPr>
  <x:sheetViews>
    <x:sheetView showGridLines="0" workbookViewId="0">
      <x:pane xSplit="2" ySplit="8" topLeftCell="C9" activePane="bottomRight" state="frozen"/>
    </x:sheetView>
  </x:sheetViews>
  <x:sheetFormatPr defaultRowHeight="15"/>
  <x:cols>
    <x:col min="1" max="1" width="11.109999656677246" hidden="0" customWidth="1"/>
    <x:col min="2" max="2" width="18.329999923706055" hidden="0" customWidth="1"/>
    <x:col min="3" max="3" width="43.33000183105469" hidden="0" customWidth="1"/>
    <x:col min="4" max="4" width="67.77999877929688" hidden="0" customWidth="1"/>
    <x:col min="5" max="5" width="51.11000061035156" hidden="0" customWidth="1"/>
    <x:col min="6" max="6" width="46.66999816894531" hidden="0" customWidth="1"/>
    <x:col min="7" max="7" width="34.439998626708984" hidden="0" customWidth="1"/>
    <x:col min="8" max="8" width="20" hidden="0" customWidth="1"/>
    <x:col min="9" max="9" width="41.11000061035156" hidden="0" customWidth="1"/>
    <x:col min="10" max="10" width="37.779998779296875" hidden="0" customWidth="1"/>
    <x:col min="11" max="11" width="43.33000183105469" hidden="0" customWidth="1"/>
    <x:col min="12" max="12" width="46.66999816894531" hidden="0" customWidth="1"/>
    <x:col min="13" max="13" width="45.560001373291016" hidden="0" customWidth="1"/>
    <x:col min="14" max="14" width="47.779998779296875" hidden="0" customWidth="1"/>
    <x:col min="15" max="15" width="21.110000610351562" hidden="0" customWidth="1"/>
    <x:col min="16" max="16" width="27.780000686645508" hidden="0" customWidth="1"/>
    <x:col min="17" max="17" width="40" hidden="0" customWidth="1"/>
    <x:col min="18" max="18" width="36.66999816894531" hidden="0" customWidth="1"/>
    <x:col min="19" max="19" width="21.110000610351562" hidden="0" customWidth="1"/>
  </x:cols>
  <x:sheetData>
    <x:row r="1">
      <x:c r="A1" s="2335" t="str">
        <x:v>Preliminary synthesis and testable hypotheses</x:v>
      </x:c>
      <x:c r="B1" s="2335" t="str">
        <x:v>Preliminary synthesis and testable hypotheses</x:v>
      </x:c>
      <x:c r="C1" s="2335" t="str">
        <x:v>Preliminary synthesis and testable hypotheses</x:v>
      </x:c>
      <x:c r="D1" s="2335" t="str">
        <x:v>Preliminary synthesis and testable hypotheses</x:v>
      </x:c>
      <x:c r="E1" s="2335" t="str">
        <x:v>Preliminary synthesis and testable hypotheses</x:v>
      </x:c>
      <x:c r="F1" s="2335" t="str">
        <x:v>Preliminary synthesis and testable hypotheses</x:v>
      </x:c>
    </x:row>
    <x:row r="2">
      <x:c r="A2" s="2335" t="str">
        <x:v>Preliminary synthesis and testable hypotheses</x:v>
      </x:c>
      <x:c r="B2" s="2335" t="str">
        <x:v>Preliminary synthesis and testable hypotheses</x:v>
      </x:c>
      <x:c r="C2" s="2335" t="str">
        <x:v>Preliminary synthesis and testable hypotheses</x:v>
      </x:c>
      <x:c r="D2" s="2335" t="str">
        <x:v>Preliminary synthesis and testable hypotheses</x:v>
      </x:c>
      <x:c r="E2" s="2335" t="str">
        <x:v>Preliminary synthesis and testable hypotheses</x:v>
      </x:c>
      <x:c r="F2" s="2335" t="str">
        <x:v>Preliminary synthesis and testable hypotheses</x:v>
      </x:c>
    </x:row>
    <x:row r="3">
      <x:c r="A3" s="2309" t="str">
        <x:v>2026-09-16. Hypotheses generated from the selected register; causal tests have not been completed. Patient, physician and service comparisons remain separate.</x:v>
      </x:c>
      <x:c r="B3" s="2309" t="str">
        <x:v>2026-09-16. Hypotheses generated from the selected register; causal tests have not been completed. Patient, physician and service comparisons remain separate.</x:v>
      </x:c>
      <x:c r="C3" s="2309" t="str">
        <x:v>2026-09-16. Hypotheses generated from the selected register; causal tests have not been completed. Patient, physician and service comparisons remain separate.</x:v>
      </x:c>
      <x:c r="D3" s="2309" t="str">
        <x:v>2026-09-16. Hypotheses generated from the selected register; causal tests have not been completed. Patient, physician and service comparisons remain separate.</x:v>
      </x:c>
      <x:c r="E3" s="2309" t="str">
        <x:v>2026-09-16. Hypotheses generated from the selected register; causal tests have not been completed. Patient, physician and service comparisons remain separate.</x:v>
      </x:c>
      <x:c r="F3" s="2309" t="str">
        <x:v>2026-09-16. Hypotheses generated from the selected register; causal tests have not been completed. Patient, physician and service comparisons remain separate.</x:v>
      </x:c>
    </x:row>
    <x:row r="4">
      <x:c r="A4" s="2309" t="str">
        <x:v>2026-09-16. Hypotheses generated from the selected register; causal tests have not been completed. Patient, physician and service comparisons remain separate.</x:v>
      </x:c>
      <x:c r="B4" s="2309" t="str">
        <x:v>2026-09-16. Hypotheses generated from the selected register; causal tests have not been completed. Patient, physician and service comparisons remain separate.</x:v>
      </x:c>
      <x:c r="C4" s="2309" t="str">
        <x:v>2026-09-16. Hypotheses generated from the selected register; causal tests have not been completed. Patient, physician and service comparisons remain separate.</x:v>
      </x:c>
      <x:c r="D4" s="2309" t="str">
        <x:v>2026-09-16. Hypotheses generated from the selected register; causal tests have not been completed. Patient, physician and service comparisons remain separate.</x:v>
      </x:c>
      <x:c r="E4" s="2309" t="str">
        <x:v>2026-09-16. Hypotheses generated from the selected register; causal tests have not been completed. Patient, physician and service comparisons remain separate.</x:v>
      </x:c>
      <x:c r="F4" s="2309" t="str">
        <x:v>2026-09-16. Hypotheses generated from the selected register; causal tests have not been completed. Patient, physician and service comparisons remain separate.</x:v>
      </x:c>
    </x:row>
    <x:row r="5">
      <x:c r="A5" s="2309" t="str">
        <x:v>Define clinical need independently of coverage. Retain null and reversed findings. Use the linked study IDs and PMIDs to inspect evidence; notes in column R are editable.</x:v>
      </x:c>
      <x:c r="B5" s="2309" t="str">
        <x:v>Define clinical need independently of coverage. Retain null and reversed findings. Use the linked study IDs and PMIDs to inspect evidence; notes in column R are editable.</x:v>
      </x:c>
      <x:c r="C5" s="2309" t="str">
        <x:v>Define clinical need independently of coverage. Retain null and reversed findings. Use the linked study IDs and PMIDs to inspect evidence; notes in column R are editable.</x:v>
      </x:c>
      <x:c r="D5" s="2309" t="str">
        <x:v>Define clinical need independently of coverage. Retain null and reversed findings. Use the linked study IDs and PMIDs to inspect evidence; notes in column R are editable.</x:v>
      </x:c>
      <x:c r="E5" s="2309" t="str">
        <x:v>Define clinical need independently of coverage. Retain null and reversed findings. Use the linked study IDs and PMIDs to inspect evidence; notes in column R are editable.</x:v>
      </x:c>
      <x:c r="F5" s="2309" t="str">
        <x:v>Define clinical need independently of coverage. Retain null and reversed findings. Use the linked study IDs and PMIDs to inspect evidence; notes in column R are editable.</x:v>
      </x:c>
    </x:row>
    <x:row r="6">
      <x:c r="A6" s="2309" t="str">
        <x:v>Define clinical need independently of coverage. Retain null and reversed findings. Use the linked study IDs and PMIDs to inspect evidence; notes in column R are editable.</x:v>
      </x:c>
      <x:c r="B6" s="2309" t="str">
        <x:v>Define clinical need independently of coverage. Retain null and reversed findings. Use the linked study IDs and PMIDs to inspect evidence; notes in column R are editable.</x:v>
      </x:c>
      <x:c r="C6" s="2309" t="str">
        <x:v>Define clinical need independently of coverage. Retain null and reversed findings. Use the linked study IDs and PMIDs to inspect evidence; notes in column R are editable.</x:v>
      </x:c>
      <x:c r="D6" s="2309" t="str">
        <x:v>Define clinical need independently of coverage. Retain null and reversed findings. Use the linked study IDs and PMIDs to inspect evidence; notes in column R are editable.</x:v>
      </x:c>
      <x:c r="E6" s="2309" t="str">
        <x:v>Define clinical need independently of coverage. Retain null and reversed findings. Use the linked study IDs and PMIDs to inspect evidence; notes in column R are editable.</x:v>
      </x:c>
      <x:c r="F6" s="2309" t="str">
        <x:v>Define clinical need independently of coverage. Retain null and reversed findings. Use the linked study IDs and PMIDs to inspect evidence; notes in column R are editable.</x:v>
      </x:c>
    </x:row>
    <x:row r="8" ht="41.25" customHeight="1">
      <x:c r="A8" s="2291" t="str">
        <x:v>Hypothesis ID</x:v>
      </x:c>
      <x:c r="B8" s="2291" t="str">
        <x:v>Evidence stream</x:v>
      </x:c>
      <x:c r="C8" s="2291" t="str">
        <x:v>Proposed hypothesis</x:v>
      </x:c>
      <x:c r="D8" s="2291" t="str">
        <x:v>Observed pattern / limits</x:v>
      </x:c>
      <x:c r="E8" s="2291" t="str">
        <x:v>Proposed test</x:v>
      </x:c>
      <x:c r="F8" s="2291" t="str">
        <x:v>What would weaken it</x:v>
      </x:c>
      <x:c r="G8" s="2291" t="str">
        <x:v>Analysis readiness</x:v>
      </x:c>
      <x:c r="H8" s="2291" t="str">
        <x:v>Research priority</x:v>
      </x:c>
      <x:c r="I8" s="2291" t="str">
        <x:v>Population and need</x:v>
      </x:c>
      <x:c r="J8" s="2291" t="str">
        <x:v>Exposure</x:v>
      </x:c>
      <x:c r="K8" s="2291" t="str">
        <x:v>Comparator</x:v>
      </x:c>
      <x:c r="L8" s="2291" t="str">
        <x:v>Primary / secondary outcomes</x:v>
      </x:c>
      <x:c r="M8" s="2291" t="str">
        <x:v>Alternative explanations</x:v>
      </x:c>
      <x:c r="N8" s="2291" t="str">
        <x:v>Next step</x:v>
      </x:c>
      <x:c r="O8" s="2291" t="str">
        <x:v>Supporting / motivating studies</x:v>
      </x:c>
      <x:c r="P8" s="2291" t="str">
        <x:v>Counterevidence / qualification</x:v>
      </x:c>
      <x:c r="Q8" s="2291" t="str">
        <x:v>PMIDs (study ID: PMID)</x:v>
      </x:c>
      <x:c r="R8" s="2291" t="str">
        <x:v>Research notes</x:v>
      </x:c>
      <x:c r="S8" s="2291" t="str">
        <x:v>Policy source IDs</x:v>
      </x:c>
    </x:row>
    <x:row r="9" ht="127.5" customHeight="1">
      <x:c r="A9" s="2292" t="str">
        <x:v>HYP-01</x:v>
      </x:c>
      <x:c r="B9" s="2292" t="str">
        <x:v>Patient care/access</x:v>
      </x:c>
      <x:c r="C9" s="2292" t="str">
        <x:v>Among beneficiaries with an independently established need for a particular menopausal/GSM formulation, higher financial or authorization burdens reduce timely initiation and persistence with clinically suitable treatment.</x:v>
      </x:c>
      <x:c r="D9" s="2292" t="str">
        <x:v>Formulary availability varies by formulation. Vaginal-estrogen spending per treated beneficiary rose in a historical study, but this is not patient out-of-pocket cost. Clinical trials/reviews show heterogeneous effects; listing and efficacy do not establish unmet need.</x:v>
      </x:c>
      <x:c r="E9" s="2292" t="str">
        <x:v>First audit options within each plan and indication. Then use linked prescription orders, claims, denials and benefit data to compare policy changes with a defensible control and pretrend checks; account for plan selection and formulary clustering.</x:v>
      </x:c>
      <x:c r="F9" s="2292" t="str">
        <x:v>Precise estimates excluding a meaningful initiation gap after suitable alternatives, preferences and clinical differences are measured would weaken this mechanism. A nonsignificant imprecise estimate would not.</x:v>
      </x:c>
      <x:c r="G9" s="2292" t="str">
        <x:v>Descriptive formulation audit ready; patient-access test needs linked data</x:v>
      </x:c>
      <x:c r="H9" s="2292" t="str">
        <x:v>First analysis</x:v>
      </x:c>
      <x:c r="I9" s="2292" t="str">
        <x:v>Clinically eligible Medicare beneficiaries seeking GSM or menopausal symptom treatment; stratify age, indication and route. Assess contraindications and informed preferences.</x:v>
      </x:c>
      <x:c r="J9" s="2292" t="str">
        <x:v>Formulary nonlisting, PA/ST and actual out-of-pocket burden; analyze each separately.</x:v>
      </x:c>
      <x:c r="K9" s="2292" t="str">
        <x:v>Same indication and clinical requirements under less restrictive plans or a verified policy change. Do not assume oral, local and transdermal treatments are interchangeable.</x:v>
      </x:c>
      <x:c r="L9" s="2292" t="str">
        <x:v>Prespecified primary: timely initiation of an appropriate desired therapy. Secondary: abandonment, persistence, delays, symptoms and patient spending.</x:v>
      </x:c>
      <x:c r="M9" s="2292" t="str">
        <x:v>Clinical contraindications, efficacy and safety differences, generic substitution, negotiated prices, patient preference, prescribing practice and healthy-user selection.</x:v>
      </x:c>
      <x:c r="N9" s="2292" t="str">
        <x:v>Use the three-state formulary summary, then inspect exact strengths/routes and clinical eligibility. Obtain unique-formulary and enrollment-weighted comparisons before estimating beneficiary exposure.</x:v>
      </x:c>
      <x:c r="O9" s="2292" t="str">
        <x:v>L-D01, L-D04</x:v>
      </x:c>
      <x:c r="P9" s="2292" t="str">
        <x:v>L-D03, L-D10</x:v>
      </x:c>
      <x:c r="Q9" s="2292" t="str">
        <x:v>L-D01: 38527966; L-D04: 39250810; L-D03: 29554173; L-D10: 12117397</x:v>
      </x:c>
      <x:c r="R9" s="2307" t="str"/>
      <x:c r="S9" s="2292" t="str">
        <x:v>P-002, P-003, P-029, P-033, P-034, P-037, P-038</x:v>
      </x:c>
    </x:row>
    <x:row r="10" ht="127.5" customHeight="1">
      <x:c r="A10" s="2298" t="str">
        <x:v>HYP-02</x:v>
      </x:c>
      <x:c r="B10" s="2298" t="str">
        <x:v>Service/anatomy valuation</x:v>
      </x:c>
      <x:c r="C10" s="2298" t="str">
        <x:v>Across a prespecified set of clinically analogous procedures, female-anatomy procedures receive lower average work RVUs after independent measurement of complete physician work.</x:v>
      </x:c>
      <x:c r="D10" s="2298" t="str">
        <x:v>Penn found lower work RVUs for 41/55 female-anatomy procedures; Hathaway found no significant difference in 10 closely matched pairs. Polan found higher female RVUs/hour but lower modeled specialty compensation/hour. Matching, work and payment measures differ.</x:v>
      </x:c>
      <x:c r="E10" s="2298" t="str">
        <x:v>Define pairs before examining payment direction. Extract the full published pair sets into the same current CMS release; assess pair-selection sensitivity and complete pre-, intra- and postoperative work. Avoid treating current RUC assumptions as independent proof of equal work.</x:v>
      </x:c>
      <x:c r="F10" s="2298" t="str">
        <x:v>Precise estimates ruling out the prespecified meaningful mean female disadvantage across defensible matching definitions would weaken the average-effect claim. Report heterogeneous and reversed pairs separately; average parity cannot establish parity for every procedure.</x:v>
      </x:c>
      <x:c r="G10" s="2298" t="str">
        <x:v>Five-pair descriptive check exists; full pair extraction and work measures needed</x:v>
      </x:c>
      <x:c r="H10" s="2298" t="str">
        <x:v>First analysis</x:v>
      </x:c>
      <x:c r="I10" s="2298" t="str">
        <x:v>A prespecified universe of clinically analogous procedures; services without a counterpart remain eligible for separate need/value assessment.</x:v>
      </x:c>
      <x:c r="J10" s="2298" t="str">
        <x:v>Female-anatomy versus male-anatomy procedure category, not physician gender.</x:v>
      </x:c>
      <x:c r="K10" s="2298" t="str">
        <x:v>Pairs matched on clinical purpose, setting, complexity, global period and independently measured episode work within the same fee-schedule year.</x:v>
      </x:c>
      <x:c r="L10" s="2298" t="str">
        <x:v>Primary: mean paired work-RVU difference across the prespecified set. Secondary: fraction exceeding a prespecified meaningful disadvantage and standardized allowed payment, with work, practice-expense and malpractice components separate.</x:v>
      </x:c>
      <x:c r="M10" s="2298" t="str">
        <x:v>Different technical intensity, risk, perioperative work, bundling, code revisions and pair selection; specialty compensation may change modeled dollars without changing the Medicare conversion factor.</x:v>
      </x:c>
      <x:c r="N10" s="2298" t="str">
        <x:v>Extend the current five-pair check to complete prespecified published sets. Audit code meaning and global/setting compatibility; report all directions before considering pooling.</x:v>
      </x:c>
      <x:c r="O10" s="2298" t="str">
        <x:v>L-P01, L-P04, L-P05, L-P06</x:v>
      </x:c>
      <x:c r="P10" s="2298" t="str">
        <x:v>L-P02, L-P03</x:v>
      </x:c>
      <x:c r="Q10" s="2298" t="str">
        <x:v>L-P01: 39978776; L-P04: 34237766; L-P05: 9062137; L-P06: 28024653; L-P02: 38758183; L-P03: 34736273</x:v>
      </x:c>
      <x:c r="R10" s="2307" t="str"/>
      <x:c r="S10" s="2298" t="str">
        <x:v>P-035, P-036</x:v>
      </x:c>
    </x:row>
    <x:row r="11" ht="127.5" customHeight="1">
      <x:c r="A11" s="2292" t="str">
        <x:v>HYP-03</x:v>
      </x:c>
      <x:c r="B11" s="2292" t="str">
        <x:v>Patient care/access</x:v>
      </x:c>
      <x:c r="C11" s="2292" t="str">
        <x:v>More complete contraceptive benefits increase receipt of desired, clinically appropriate contraception among younger Medicare beneficiaries with disabilities, especially when financial constraints are substantial.</x:v>
      </x:c>
      <x:c r="D11" s="2292" t="str">
        <x:v>Dual Medicare-Medicaid enrollment was associated with increased contraceptive use in younger women with disabilities. Neither the association nor a higher use rate alone demonstrates causally improved, preference-concordant care.</x:v>
      </x:c>
      <x:c r="E11" s="2292" t="str">
        <x:v>Replicate the coverage-transition association with longitudinal eligibility and claims, assess pretrends and reasons for transitions, and add patient-reported preferences. Distinguish increased availability from coercive or unwanted use.</x:v>
      </x:c>
      <x:c r="F11" s="2292" t="str">
        <x:v>No improvement in need- and preference-concordant access with sufficiently precise estimates after a verified benefit expansion would weaken this hypothesis; utilization alone is insufficient.</x:v>
      </x:c>
      <x:c r="G11" s="2292" t="str">
        <x:v>Published association available; causal replication needs new data</x:v>
      </x:c>
      <x:c r="H11" s="2292" t="str">
        <x:v>Requires new data</x:v>
      </x:c>
      <x:c r="I11" s="2292" t="str">
        <x:v>Eligible reproductive-age Medicare beneficiaries with disabilities; identify clinical need and pregnancy intentions rather than using enrollment alone.</x:v>
      </x:c>
      <x:c r="J11" s="2292" t="str">
        <x:v>Verified benefit expansion or gaining relevant supplemental/Medicaid benefits, with actual cost sharing documented.</x:v>
      </x:c>
      <x:c r="K11" s="2292" t="str">
        <x:v>Comparable beneficiaries without the benefit change and the same individuals before the change; no forced male comparator.</x:v>
      </x:c>
      <x:c r="L11" s="2292" t="str">
        <x:v>Primary: receipt of the patient-preferred appropriate method among those desiring it. Secondary: cost-related nonuse, delays and switching.</x:v>
      </x:c>
      <x:c r="M11" s="2292" t="str">
        <x:v>Changing income, disability/health status, pregnancy intentions, provider networks, state Medicaid rules and cash purchases missed in claims.</x:v>
      </x:c>
      <x:c r="N11" s="2292" t="str">
        <x:v>Extract study eligibility and policy periods fully, then seek longitudinal benefit and preference data. WPS IUD guidance is local, the sterilization NCD is national, and Part D drug coverage requires product/plan review. Preserve younger disability beneficiaries separately.</x:v>
      </x:c>
      <x:c r="O11" s="2292" t="str">
        <x:v>L-G09, L-G10</x:v>
      </x:c>
      <x:c r="P11" s="2292" t="str">
        <x:v>No direct counter-study extracted; see alternative explanations</x:v>
      </x:c>
      <x:c r="Q11" s="2292" t="str">
        <x:v>L-G09: 40560583; L-G10: 38190592</x:v>
      </x:c>
      <x:c r="R11" s="2307" t="str"/>
      <x:c r="S11" s="2292" t="str">
        <x:v>P-015, P-018, P-019</x:v>
      </x:c>
    </x:row>
    <x:row r="12" ht="127.5" customHeight="1">
      <x:c r="A12" s="2298" t="str">
        <x:v>HYP-04</x:v>
      </x:c>
      <x:c r="B12" s="2298" t="str">
        <x:v>Patient care/access</x:v>
      </x:c>
      <x:c r="C12" s="2298" t="str">
        <x:v>Among women and men with comparable fracture-related osteoporosis care needs, men receive less appropriate follow-up, and structured outreach reduces that gap.</x:v>
      </x:c>
      <x:c r="D12" s="2298" t="str">
        <x:v>Historical Medicare data show less bone testing in men. A male outreach study improved testing from 4.9% to 10.7%, with no female comparator. Current benefit eligibility has multiple routes for men and women.</x:v>
      </x:c>
      <x:c r="E12" s="2298" t="str">
        <x:v>Use a clinically characterized cohort including nonrecipients, then a pragmatic outreach trial with a prespecified patient-sex interaction. Separate current benefit eligibility from independently assessed need.</x:v>
      </x:c>
      <x:c r="F12" s="2298" t="str">
        <x:v>Comparable need-adjusted completion in women and men would weaken the access-gap claim. Similar outreach effects with a persistent gap would not support the proposed gap-reduction mechanism.</x:v>
      </x:c>
      <x:c r="G12" s="2298" t="str">
        <x:v>Historical comparison and male outreach study available; current joint test needs data</x:v>
      </x:c>
      <x:c r="H12" s="2298" t="str">
        <x:v>Priority patient study</x:v>
      </x:c>
      <x:c r="I12" s="2298" t="str">
        <x:v>Medicare beneficiaries after comparable fragility fractures; assess fracture type, prior testing/treatment, prognosis, contraindications and preferences.</x:v>
      </x:c>
      <x:c r="J12" s="2298" t="str">
        <x:v>Recorded patient sex and a separately assigned outreach intervention; preserve uncertainty about gender identity.</x:v>
      </x:c>
      <x:c r="K12" s="2298" t="str">
        <x:v>Women versus men within clinical-need and age/entitlement strata; outreach versus usual care within each sex.</x:v>
      </x:c>
      <x:c r="L12" s="2298" t="str">
        <x:v>Primary: guideline-concordant completed osteoporosis evaluation/treatment pathway. Report referral, testing, medication offer and initiation separately.</x:v>
      </x:c>
      <x:c r="M12" s="2298" t="str">
        <x:v>Different fracture risk/severity, survival, prior treatment, contraindications, clinical recognition, patient preferences and access to follow-up.</x:v>
      </x:c>
      <x:c r="N12" s="2298" t="str">
        <x:v>Fully extract the male outreach trial, including post-randomization exclusions, and define contemporary need-based outcomes without making testing alone the goal.</x:v>
      </x:c>
      <x:c r="O12" s="2298" t="str">
        <x:v>L-G04, L-G05</x:v>
      </x:c>
      <x:c r="P12" s="2298" t="str">
        <x:v>No direct counter-study extracted; see alternative explanations</x:v>
      </x:c>
      <x:c r="Q12" s="2298" t="str">
        <x:v>L-G04: 18302495; L-G05: 33273290</x:v>
      </x:c>
      <x:c r="R12" s="2307" t="str"/>
      <x:c r="S12" s="2298" t="str">
        <x:v>P-012</x:v>
      </x:c>
    </x:row>
    <x:row r="13" ht="127.5" customHeight="1">
      <x:c r="A13" s="2292" t="str">
        <x:v>HYP-05</x:v>
      </x:c>
      <x:c r="B13" s="2292" t="str">
        <x:v>Patient care/access</x:v>
      </x:c>
      <x:c r="C13" s="2292" t="str">
        <x:v>Among beneficiaries with comparable kidney-care needs and nominal coverage, financial, transport and caregiving demands contribute to sex differences in completing recommended care.</x:v>
      </x:c>
      <x:c r="D13" s="2292" t="str">
        <x:v>Nephrologists described patient financial, transport and caregiving barriers. These are qualitative perceptions, not measured Medicare patient effects. The Lancet framework motivates separating clinical and social mechanisms.</x:v>
      </x:c>
      <x:c r="E13" s="2292" t="str">
        <x:v>Collect referral, treatment-offer, attendance, burden and preference data prospectively. Test effective transport/caregiving support with a prespecified patient-sex interaction; separate total disparity from exploratory mediation.</x:v>
      </x:c>
      <x:c r="F13" s="2292" t="str">
        <x:v>Precise evidence of comparable need-adjusted completion and burdens across sexes would weaken the proposed disparity. If support demonstrably reduces the between-sex burden difference but precisely fails to reduce the corresponding completion gap, the mediation hypothesis is weakened. Absence of an interaction alone is inconclusive.</x:v>
      </x:c>
      <x:c r="G13" s="2292" t="str">
        <x:v>Qualitative mechanism only; requires patient-level prospective evidence</x:v>
      </x:c>
      <x:c r="H13" s="2292" t="str">
        <x:v>Exploratory mechanism</x:v>
      </x:c>
      <x:c r="I13" s="2292" t="str">
        <x:v>Women and men referred for comparable kidney-care pathways; stratify disease severity, age and entitlement.</x:v>
      </x:c>
      <x:c r="J13" s="2292" t="str">
        <x:v>Measured financial, travel, time and caregiving burden under the same coverage rules; patient and physician sex/gender recorded separately.</x:v>
      </x:c>
      <x:c r="K13" s="2292" t="str">
        <x:v>Beneficiaries with comparable need but lower practical burden; evaluate targeted support versus usual care within sex strata.</x:v>
      </x:c>
      <x:c r="L13" s="2292" t="str">
        <x:v>Primary: completion of clinically appropriate, desired care within a prespecified interval. Secondary: delay, out-of-pocket burden and patient-reported unmet need.</x:v>
      </x:c>
      <x:c r="M13" s="2292" t="str">
        <x:v>Disease trajectory, medical contraindications, geography, provider supply, unconstrained preferences and differences in treatment offers.</x:v>
      </x:c>
      <x:c r="N13" s="2292" t="str">
        <x:v>Retrieve full qualitative methods and contradictory accounts. Develop measures with patients; do not treat clinician perceptions as measured Medicare effects.</x:v>
      </x:c>
      <x:c r="O13" s="2292" t="str">
        <x:v>L-Q01, L-B01</x:v>
      </x:c>
      <x:c r="P13" s="2292" t="str">
        <x:v>No direct counter-study extracted; see alternative explanations</x:v>
      </x:c>
      <x:c r="Q13" s="2292" t="str">
        <x:v>L-Q01: 35257055; L-B01: 32828189</x:v>
      </x:c>
      <x:c r="R13" s="2307" t="str"/>
      <x:c r="S13" s="2292" t="str">
        <x:v>No direct policy estimate attached</x:v>
      </x:c>
    </x:row>
    <x:row r="14" ht="127.5" customHeight="1">
      <x:c r="A14" s="2298" t="str">
        <x:v>HYP-06</x:v>
      </x:c>
      <x:c r="B14" s="2298" t="str">
        <x:v>Physician sex/gender</x:v>
      </x:c>
      <x:c r="C14" s="2298" t="str">
        <x:v>Differences in referral opportunities, access to procedures and clinical time contribute to annual Medicare payment differences between women and men physicians.</x:v>
      </x:c>
      <x:c r="D14" s="2298" t="str">
        <x:v>Women physicians had lower annual Medicare payments in three studies. Cardiology common-code comparisons and colorectal per-service results include nulls. Unavailable billing details and clinical-time measures limit rate and mechanism inference.</x:v>
      </x:c>
      <x:c r="E14" s="2298" t="str">
        <x:v>Link practice rosters, scheduled clinical time, referrals and claims. Estimate annual differences first, then explore opportunity/service pathways without automatically adjusting away mechanisms. Test rates using modifiers, setting, geography and all relevant billing details.</x:v>
      </x:c>
      <x:c r="F14" s="2298" t="str">
        <x:v>Equal measured opportunities with persistent annual differences would weaken that mechanism. Equivalent complete-claim payments would weaken a differential-rate explanation, without excluding opportunity inequity.</x:v>
      </x:c>
      <x:c r="G14" s="2298" t="str">
        <x:v>Consistent annual-payment associations; mechanisms untested in current register</x:v>
      </x:c>
      <x:c r="H14" s="2298" t="str">
        <x:v>Separate physician stream</x:v>
      </x:c>
      <x:c r="I14" s="2298" t="str">
        <x:v>Physicians with recorded specialty, practice, career stage and clinical commitments. Document clinician sex/gender measurement; treat clinical time as a possible mechanism rather than automatically conditioning the primary comparison on it.</x:v>
      </x:c>
      <x:c r="J14" s="2298" t="str">
        <x:v>Physician sex/gender and measured referral/procedure opportunities, distinct from patient sex.</x:v>
      </x:c>
      <x:c r="K14" s="2298" t="str">
        <x:v>Women and men physicians in comparable practice contexts; separately compare complete claims for comparable services.</x:v>
      </x:c>
      <x:c r="L14" s="2298" t="str">
        <x:v>Primary: total annual Medicare payment difference within the prespecified population. Secondary: payments standardized to measured clinical time, referral/procedure opportunities, service mix, and payment per complete comparable claim.</x:v>
      </x:c>
      <x:c r="M14" s="2298" t="str">
        <x:v>Scheduling preferences, Medicare share, case mix, practice ownership, coding, employment arrangements and work not reimbursed by Medicare.</x:v>
      </x:c>
      <x:c r="N14" s="2298" t="str">
        <x:v>Keep annual-payment and per-service estimates separate. Obtain complete claims and measured clinical time; do not infer salary or patient coverage from receipts.</x:v>
      </x:c>
      <x:c r="O14" s="2298" t="str">
        <x:v>L-C01, L-C02, L-C03</x:v>
      </x:c>
      <x:c r="P14" s="2298" t="str">
        <x:v>L-C02, L-C03</x:v>
      </x:c>
      <x:c r="Q14" s="2298" t="str">
        <x:v>L-C01: 31926887; L-C02: 34495296; L-C03: 39046733</x:v>
      </x:c>
      <x:c r="R14" s="2307" t="str"/>
      <x:c r="S14" s="2298" t="str">
        <x:v>No direct policy estimate attached</x:v>
      </x:c>
    </x:row>
    <x:row r="15" ht="127.5" customHeight="1">
      <x:c r="A15" s="2292" t="str">
        <x:v>HYP-07</x:v>
      </x:c>
      <x:c r="B15" s="2292" t="str">
        <x:v>Patient care/access</x:v>
      </x:c>
      <x:c r="C15" s="2292" t="str">
        <x:v>The 2024 Medicare compression-item benefit reduces cost-related unmet lymphedema care, with absolute benefit varying by clinical burden and prior coverage.</x:v>
      </x:c>
      <x:c r="D15" s="2292" t="str">
        <x:v>Historical breast-cancer cost and insurer-policy studies identify burden before the 2024 Medicare compression-item benefit. They cannot establish its present effects or current surgical/pump coverage.</x:v>
      </x:c>
      <x:c r="E15" s="2292" t="str">
        <x:v>Use repeated patient reports and claims in an event study with an explicit comparator, pretrend checks and implementation/supplier measures. Analyze sex and disease burden separately.</x:v>
      </x:c>
      <x:c r="F15" s="2292" t="str">
        <x:v>A sufficiently precise estimate excluding a prespecified meaningful reduction in cost-related unmet need after verified implementation would weaken the access hypothesis. An imprecise null is inconclusive, and a claims increase alone would not confirm clinical benefit.</x:v>
      </x:c>
      <x:c r="G15" s="2292" t="str">
        <x:v>Historical burden evidence and policy change identified; post-change outcomes needed</x:v>
      </x:c>
      <x:c r="H15" s="2292" t="str">
        <x:v>Requires new data</x:v>
      </x:c>
      <x:c r="I15" s="2292" t="str">
        <x:v>Medicare beneficiaries with clinically assessed lymphedema before and after implementation; breast and other causes, women and men.</x:v>
      </x:c>
      <x:c r="J15" s="2292" t="str">
        <x:v>Effective access to the new compression-item benefit, distinct from pumps or surgical coverage.</x:v>
      </x:c>
      <x:c r="K15" s="2292" t="str">
        <x:v>Comparable beneficiaries with differing prior coverage or a defensible unaffected comparison, assessed before and after implementation.</x:v>
      </x:c>
      <x:c r="L15" s="2292" t="str">
        <x:v>Primary: cost-related unmet need for appropriate compression. Secondary: patient spending, receipt of prescribed items, symptoms and function.</x:v>
      </x:c>
      <x:c r="M15" s="2292" t="str">
        <x:v>Supplier availability, take-up, coding changes, concurrent benefits, inflation, prior supplemental insurance and secular trends.</x:v>
      </x:c>
      <x:c r="N15" s="2292" t="str">
        <x:v>Verify implementation details and extract pre/post outcome data. Do not use 2023 insurer coverage rates as present-day Medicare compression coverage.</x:v>
      </x:c>
      <x:c r="O15" s="2292" t="str">
        <x:v>L-A01, L-A02</x:v>
      </x:c>
      <x:c r="P15" s="2292" t="str">
        <x:v>No direct counter-study extracted; see alternative explanations</x:v>
      </x:c>
      <x:c r="Q15" s="2292" t="str">
        <x:v>L-A01: 31446591; L-A02: 37285151</x:v>
      </x:c>
      <x:c r="R15" s="2307" t="str"/>
      <x:c r="S15" s="2292" t="str">
        <x:v>P-021, P-022</x:v>
      </x:c>
    </x:row>
    <x:row r="16" ht="127.5" customHeight="1">
      <x:c r="A16" s="2298" t="str">
        <x:v>HYP-08</x:v>
      </x:c>
      <x:c r="B16" s="2298" t="str">
        <x:v>Service/anatomy valuation</x:v>
      </x:c>
      <x:c r="C16" s="2298" t="str">
        <x:v>Time-intensive breast reconstruction receives lower valuation relative to complete episode work than simpler reconstruction, beyond any similar pattern in other reconstructive services.</x:v>
      </x:c>
      <x:c r="D16" s="2298" t="str">
        <x:v>Breast reconstruction studies report lower work RVUs per operative time for flap versus implant procedures and declining real fees. Complete episode work and clinically comparable non-breast services remain unmeasured; no direct patient-sex effect was estimated.</x:v>
      </x:c>
      <x:c r="E16" s="2298" t="str">
        <x:v>Combine current valuations with validated pre-, intra- and postoperative work measures. Account for technique, laterality, concurrent procedures, complications, global services and setting. Estimate time trends separately from cross-procedure levels.</x:v>
      </x:c>
      <x:c r="F16" s="2298" t="str">
        <x:v>Removal of the gap after full episode measurement would weaken operative-time-only interpretations. Similar gaps outside breast care would challenge a breast-specific excess, though a broader complexity problem could remain.</x:v>
      </x:c>
      <x:c r="G16" s="2298" t="str">
        <x:v>Within-breast associations available; complete work and outside comparators needed</x:v>
      </x:c>
      <x:c r="H16" s="2298" t="str">
        <x:v>Secondary valuation study</x:v>
      </x:c>
      <x:c r="I16" s="2298" t="str">
        <x:v>Clinically defined flap and implant breast reconstruction, plus defensible non-breast reconstructive comparison groups.</x:v>
      </x:c>
      <x:c r="J16" s="2298" t="str">
        <x:v>Procedure complexity and complete episode work; breast anatomy is shared, and physician gender is not the exposure.</x:v>
      </x:c>
      <x:c r="K16" s="2298" t="str">
        <x:v>Flap versus implant reconstruction first; then compare that contrast with analogous complexity contrasts outside breast care.</x:v>
      </x:c>
      <x:c r="L16" s="2298" t="str">
        <x:v>Primary: work RVUs relative to independently measured full episode work. Secondary: standardized real payment trends, analyzed separately from the complexity contrast.</x:v>
      </x:c>
      <x:c r="M16" s="2298" t="str">
        <x:v>Bundling, excluded postoperative work, patient selection, different risk/intensity and a general valuation problem affecting time-intensive surgery.</x:v>
      </x:c>
      <x:c r="N16" s="2298" t="str">
        <x:v>Extract reconstruction studies in full and define independent episode work. A later patient-access test requires linked data on offers, delays and nonrecipients; the initial valuation test cannot establish those effects.</x:v>
      </x:c>
      <x:c r="O16" s="2298" t="str">
        <x:v>L-P07, L-P08, L-P09, L-P04</x:v>
      </x:c>
      <x:c r="P16" s="2298" t="str">
        <x:v>No direct counter-study extracted; see alternative explanations</x:v>
      </x:c>
      <x:c r="Q16" s="2298" t="str">
        <x:v>L-P07: 42085599; L-P08: 41701182; L-P09: 32453268; L-P04: 34237766</x:v>
      </x:c>
      <x:c r="R16" s="2307" t="str"/>
      <x:c r="S16" s="2298" t="str">
        <x:v>P-035</x:v>
      </x:c>
    </x:row>
    <x:row r="17" ht="127.5" customHeight="1">
      <x:c r="A17" s="2292" t="str">
        <x:v>HYP-09</x:v>
      </x:c>
      <x:c r="B17" s="2292" t="str">
        <x:v>Patient care/access</x:v>
      </x:c>
      <x:c r="C17" s="2292" t="str">
        <x:v>Among beneficiaries with comparable medication needs, financial burden contributes to sex differences in cost-related nonadherence, with potentially different effects for younger and older beneficiaries.</x:v>
      </x:c>
      <x:c r="D17" s="2292" t="str">
        <x:v>MCBS 2016 female:male adjusted OR 1.66 (1.31–2.10) under65 and 1.21 (1.04–1.41) at65+. Chicago persistent-nonadherence OR 1.36 (0.95–1.95). Different endpoints and samples prevent direct pooling; neither establishes current causal bias.</x:v>
      </x:c>
      <x:c r="E17" s="2292" t="str">
        <x:v>Extract complete age-specific estimates, assess overlap and outcome compatibility, then examine policy-change designs with pretrends, clinical need and potential mediators specified.</x:v>
      </x:c>
      <x:c r="F17" s="2292" t="str">
        <x:v>Precise null contrasts in clinically comparable groups and no differential response to financial protection would weaken the proposed mechanism; imprecise null results do not establish equality.</x:v>
      </x:c>
      <x:c r="G17" s="2292" t="str">
        <x:v>Two provisional full-text candidates; identity eligibility, human verification and appraisal pending</x:v>
      </x:c>
      <x:c r="H17" s="2292" t="str">
        <x:v>Further evidence extraction</x:v>
      </x:c>
      <x:c r="I17" s="2292" t="str">
        <x:v>Medicare beneficiaries using indicated medicines; retain &lt;65 and &gt;=65 strata and resolve the project identity criterion before primary inclusion.</x:v>
      </x:c>
      <x:c r="J17" s="2292" t="str">
        <x:v>Actual patient cost sharing and changes in financial protection; keep coverage, income and disease burden distinct.</x:v>
      </x:c>
      <x:c r="K17" s="2292" t="str">
        <x:v>Comparable medication needs across sex and policy periods; benefit-change studies need defensible controls.</x:v>
      </x:c>
      <x:c r="L17" s="2292" t="str">
        <x:v>Annual any cost-related nonadherence and longitudinal persistence analyzed separately; retain reduced spending on necessities as a separate outcome.</x:v>
      </x:c>
      <x:c r="M17" s="2292" t="str">
        <x:v>Different illness and medicine burdens, income, recall, patient preferences, plan selection and survivor selection; adjustment may also remove pathways of disparity.</x:v>
      </x:c>
      <x:c r="N17" s="2292" t="str">
        <x:v>Verify complete tables and model denominators, retrieve supplements, complete independent human review and search for compatible policy-change studies.</x:v>
      </x:c>
      <x:c r="O17" s="2292" t="str">
        <x:v>L-R01</x:v>
      </x:c>
      <x:c r="P17" s="2292" t="str">
        <x:v>L-R02</x:v>
      </x:c>
      <x:c r="Q17" s="2292" t="str">
        <x:v>L-R01: 33298705; L-R02: 33656528</x:v>
      </x:c>
      <x:c r="R17" s="2307" t="str"/>
      <x:c r="S17" s="2292" t="str">
        <x:v>No direct policy estimate attached</x:v>
      </x:c>
    </x:row>
  </x:sheetData>
  <x:mergeCells>
    <x:mergeCell ref="A1:F2"/>
    <x:mergeCell ref="A3:F4"/>
    <x:mergeCell ref="A5:F6"/>
  </x:mergeCells>
  <x:pageMargins left="0.7" right="0.7" top="0.75" bottom="0.75" header="0.3" footer="0.3"/>
  <x:tableParts count="1">
    <x:tablePart xmlns:r="http://schemas.openxmlformats.org/officeDocument/2006/relationships" r:id="Rda90aa424bd24921"/>
  </x:tableParts>
</x:worksheet>
</file>